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index 5%" sheetId="1" r:id="rId1"/>
    <sheet name="index 2%" sheetId="3" r:id="rId2"/>
    <sheet name="index 8%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<sst xmlns="http://schemas.openxmlformats.org/spreadsheetml/2006/main" count="33" uniqueCount="11">
  <si>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Année</t>
  </si>
  <si>
    <t>Production (kWh)</t>
  </si>
  <si>
    <t>Prix (TND/kWh)</t>
  </si>
  <si>
    <t>Revenus (TND)</t>
  </si>
  <si>
    <t>OPEX (TND)</t>
  </si>
  <si>
    <t>Annuité crédit (TND)</t>
  </si>
  <si>
    <r>
      <rPr>
        <b/>
        <sz val="11"/>
        <color rgb="FF000000" tint="-0.249977111117893"/>
        <rFont val="Calibri"/>
        <charset val="134"/>
        <scheme val="minor"/>
      </rPr>
      <t>Cash</t>
    </r>
    <r>
      <rPr>
        <b/>
        <sz val="10"/>
        <rFont val="Segoe UI"/>
        <charset val="134"/>
      </rPr>
      <t>‑</t>
    </r>
    <r>
      <rPr>
        <b/>
        <sz val="10"/>
        <rFont val="Calibri"/>
        <charset val="134"/>
      </rPr>
      <t>flow (TND)</t>
    </r>
  </si>
  <si>
    <t>Cash -flow cumulé</t>
  </si>
  <si>
    <t>Flux actualisé (TND)</t>
  </si>
  <si>
    <t>VAN</t>
  </si>
  <si>
    <t>TRI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</si>
</sst>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4">
    <font>
      <sz val="11"/>
      <color theme="1"/>
      <name val="Calibri"/>
      <charset val="134"/>
      <scheme val="minor"/>
    </font>
    <font>
      <b/>
      <sz val="11"/>
      <color rgb="FF000000" tint="-0.249977111117893"/>
      <name val="Calibri"/>
      <charset val="134"/>
      <scheme val="minor"/>
    </font>
    <font>
      <sz val="11"/>
      <color rgb="FF000000" tint="-0.49998474074526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Segoe UI"/>
      <charset val="134"/>
    </font>
    <font>
      <b/>
      <sz val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9" fontId="2" fillId="3" borderId="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2" fillId="3" borderId="0" xfId="3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5%'!$A$1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5%'!$A$2:$A$27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5%'!$H$1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5%'!$H$2:$H$27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-40056880.319745</c:v>
                </c:pt>
                <c:pt idx="2">
                  <c:v>-33572453.7957343</c:v>
                </c:pt>
                <c:pt idx="3">
                  <c:v>-26594649.623276</c:v>
                </c:pt>
                <c:pt idx="4">
                  <c:v>-19100376.455798</c:v>
                </c:pt>
                <c:pt idx="5">
                  <c:v>-11065475.4700502</c:v>
                </c:pt>
                <c:pt idx="6">
                  <c:v>-2464671.27781185</c:v>
                </c:pt>
                <c:pt idx="7">
                  <c:v>6728479.4146013</c:v>
                </c:pt>
                <c:pt idx="8">
                  <c:v>16541641.5022606</c:v>
                </c:pt>
                <c:pt idx="9">
                  <c:v>27003757.640939</c:v>
                </c:pt>
                <c:pt idx="10">
                  <c:v>41893106.9827214</c:v>
                </c:pt>
                <c:pt idx="11">
                  <c:v>57493366.6059887</c:v>
                </c:pt>
                <c:pt idx="12">
                  <c:v>73837675.7632658</c:v>
                </c:pt>
                <c:pt idx="13">
                  <c:v>90960703.0760756</c:v>
                </c:pt>
                <c:pt idx="14">
                  <c:v>108898716.811864</c:v>
                </c:pt>
                <c:pt idx="15">
                  <c:v>127689658.384244</c:v>
                </c:pt>
                <c:pt idx="16">
                  <c:v>147373219.224283</c:v>
                </c:pt>
                <c:pt idx="17">
                  <c:v>167990921.177311</c:v>
                </c:pt>
                <c:pt idx="18">
                  <c:v>189586200.586833</c:v>
                </c:pt>
                <c:pt idx="19">
                  <c:v>212204496.234499</c:v>
                </c:pt>
                <c:pt idx="20">
                  <c:v>235893341.312838</c:v>
                </c:pt>
                <c:pt idx="21">
                  <c:v>260702459.615576</c:v>
                </c:pt>
                <c:pt idx="22">
                  <c:v>286683866.138787</c:v>
                </c:pt>
                <c:pt idx="23">
                  <c:v>313891972.295011</c:v>
                </c:pt>
                <c:pt idx="24">
                  <c:v>342383695.951728</c:v>
                </c:pt>
                <c:pt idx="25">
                  <c:v>342383695.951728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2%'!$A$1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2%'!$A$2:$A$27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2%'!$H$1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2%'!$H$2:$H$27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-40362621.682038</c:v>
                </c:pt>
                <c:pt idx="2">
                  <c:v>-34508548.239494</c:v>
                </c:pt>
                <c:pt idx="3">
                  <c:v>-28505520.9759496</c:v>
                </c:pt>
                <c:pt idx="4">
                  <c:v>-22351246.7703384</c:v>
                </c:pt>
                <c:pt idx="5">
                  <c:v>-16043397.5595822</c:v>
                </c:pt>
                <c:pt idx="6">
                  <c:v>-9579609.81360313</c:v>
                </c:pt>
                <c:pt idx="7">
                  <c:v>-2957484.00260479</c:v>
                </c:pt>
                <c:pt idx="8">
                  <c:v>3825415.94349002</c:v>
                </c:pt>
                <c:pt idx="9">
                  <c:v>10771563.1835557</c:v>
                </c:pt>
                <c:pt idx="10">
                  <c:v>21631468.521849</c:v>
                </c:pt>
                <c:pt idx="11">
                  <c:v>32659680.9727768</c:v>
                </c:pt>
                <c:pt idx="12">
                  <c:v>43858788.3339654</c:v>
                </c:pt>
                <c:pt idx="13">
                  <c:v>55231417.7677469</c:v>
                </c:pt>
                <c:pt idx="14">
                  <c:v>66780236.3911851</c:v>
                </c:pt>
                <c:pt idx="15">
                  <c:v>78507951.8747606</c:v>
                </c:pt>
                <c:pt idx="16">
                  <c:v>90417313.04984</c:v>
                </c:pt>
                <c:pt idx="17">
                  <c:v>102511110.525052</c:v>
                </c:pt>
                <c:pt idx="18">
                  <c:v>114792177.3117</c:v>
                </c:pt>
                <c:pt idx="19">
                  <c:v>127263389.458333</c:v>
                </c:pt>
                <c:pt idx="20">
                  <c:v>139927666.694618</c:v>
                </c:pt>
                <c:pt idx="21">
                  <c:v>152787973.084628</c:v>
                </c:pt>
                <c:pt idx="22">
                  <c:v>165847317.689692</c:v>
                </c:pt>
                <c:pt idx="23">
                  <c:v>179108755.240941</c:v>
                </c:pt>
                <c:pt idx="24">
                  <c:v>192575386.821678</c:v>
                </c:pt>
                <c:pt idx="25">
                  <c:v>192575386.821678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Évolution du cash-flow cumulé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'index 8%'!$A$1</c:f>
              <c:strCache>
                <c:ptCount val="1"/>
                <c:pt idx="0">
                  <c:v>Année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'index 8%'!$A$2:$A$27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val>
        </c:ser>
        <c:ser>
          <c:idx val="1"/>
          <c:order val="1"/>
          <c:tx>
            <c:strRef>
              <c:f>'index 8%'!$H$1</c:f>
              <c:strCache>
                <c:ptCount val="1"/>
                <c:pt idx="0">
                  <c:v>Cash -flow cumulé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'index 8%'!$H$2:$H$27</c:f>
              <c:numCache>
                <c:formatCode>General</c:formatCode>
                <c:ptCount val="26"/>
                <c:pt idx="0">
                  <c:v>-46070000</c:v>
                </c:pt>
                <c:pt idx="1">
                  <c:v>-39751138.957452</c:v>
                </c:pt>
                <c:pt idx="2">
                  <c:v>-32618088.248164</c:v>
                </c:pt>
                <c:pt idx="3">
                  <c:v>-24608183.4056962</c:v>
                </c:pt>
                <c:pt idx="4">
                  <c:v>-15653996.5849397</c:v>
                </c:pt>
                <c:pt idx="5">
                  <c:v>-5682975.65098127</c:v>
                </c:pt>
                <c:pt idx="6">
                  <c:v>5382944.0541583</c:v>
                </c:pt>
                <c:pt idx="7">
                  <c:v>17627757.33482</c:v>
                </c:pt>
                <c:pt idx="8">
                  <c:v>31141838.379444</c:v>
                </c:pt>
                <c:pt idx="9">
                  <c:v>46022424.0055048</c:v>
                </c:pt>
                <c:pt idx="10">
                  <c:v>66122133.4854849</c:v>
                </c:pt>
                <c:pt idx="11">
                  <c:v>87805527.7225239</c:v>
                </c:pt>
                <c:pt idx="12">
                  <c:v>111193710.753908</c:v>
                </c:pt>
                <c:pt idx="13">
                  <c:v>136416976.785963</c:v>
                </c:pt>
                <c:pt idx="14">
                  <c:v>163615506.206358</c:v>
                </c:pt>
                <c:pt idx="15">
                  <c:v>192940114.280621</c:v>
                </c:pt>
                <c:pt idx="16">
                  <c:v>224553056.520225</c:v>
                </c:pt>
                <c:pt idx="17">
                  <c:v>258628895.011329</c:v>
                </c:pt>
                <c:pt idx="18">
                  <c:v>295355430.317901</c:v>
                </c:pt>
                <c:pt idx="19">
                  <c:v>334934703.922105</c:v>
                </c:pt>
                <c:pt idx="20">
                  <c:v>377584076.54042</c:v>
                </c:pt>
                <c:pt idx="21">
                  <c:v>423537388.057988</c:v>
                </c:pt>
                <c:pt idx="22">
                  <c:v>473046205.258295</c:v>
                </c:pt>
                <c:pt idx="23">
                  <c:v>526381163.992751</c:v>
                </c:pt>
                <c:pt idx="24">
                  <c:v>583833412.93763</c:v>
                </c:pt>
                <c:pt idx="25">
                  <c:v>583833412.93763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704677"/>
        <c:axId val="383562376"/>
      </c:barChart>
      <c:catAx>
        <c:axId val="79670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Année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62376"/>
        <c:crosses val="autoZero"/>
        <c:auto val="1"/>
        <c:lblAlgn val="ctr"/>
        <c:lblOffset val="100"/>
        <c:noMultiLvlLbl val="0"/>
      </c:catAx>
      <c:valAx>
        <c:axId val="3835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Cash-flow cumulé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70467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5e2eef-551b-4126-98f4-cff0860e5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490220</xdr:colOff>
      <xdr:row>28</xdr:row>
      <xdr:rowOff>67310</xdr:rowOff>
    </xdr:from>
    <xdr:to>
      <xdr:col>13</xdr:col>
      <xdr:colOff>544830</xdr:colOff>
      <xdr:row>51</xdr:row>
      <xdr:rowOff>75565</xdr:rowOff>
    </xdr:to>
    <xdr:graphicFrame>
      <xdr:nvGraphicFramePr>
        <xdr:cNvPr id="2" name="Graphique 1"/>
        <xdr:cNvGraphicFramePr/>
      </xdr:nvGraphicFramePr>
      <xdr:xfrm>
        <a:off x="4947920" y="5212715"/>
        <a:ext cx="7377430" cy="421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D31" sqref="D31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>G2/(1+10%)^A3</f>
        <v>-41881818.1818182</v>
      </c>
      <c r="J2" s="6">
        <f>NPV(10%,G3:G27)+G2</f>
        <v>56535297.2904436</v>
      </c>
      <c r="K2" s="7">
        <f>IRR(G2:G27)</f>
        <v>0.191576049470672</v>
      </c>
    </row>
    <row r="3" spans="1:11">
      <c r="A3" s="8">
        <v>1</v>
      </c>
      <c r="B3" s="8">
        <f>35902835*(1-0.004)^(A3-1)</f>
        <v>35902835</v>
      </c>
      <c r="C3" s="8">
        <v>0.285</v>
      </c>
      <c r="D3" s="8">
        <f>B3*C3</f>
        <v>10232307.975</v>
      </c>
      <c r="E3" s="8">
        <v>921400</v>
      </c>
      <c r="F3" s="9">
        <v>3748000</v>
      </c>
      <c r="G3" s="10">
        <f>D3-E3-F3</f>
        <v>5562907.975</v>
      </c>
      <c r="H3" s="8">
        <f>H2+G4</f>
        <v>-40056880.319745</v>
      </c>
      <c r="I3" s="11">
        <f t="shared" ref="I3:I27" si="0">G3/(1+10%)^A4</f>
        <v>4597444.60743802</v>
      </c>
      <c r="J3" s="12"/>
      <c r="K3" s="12"/>
    </row>
    <row r="4" spans="1:11">
      <c r="A4" s="13">
        <v>2</v>
      </c>
      <c r="B4" s="14">
        <f t="shared" ref="B4:B27" si="1">35902835*(1-0.004)^(A4-1)</f>
        <v>35759223.66</v>
      </c>
      <c r="C4" s="13">
        <f>C3*(1+5%)</f>
        <v>0.29925</v>
      </c>
      <c r="D4" s="13">
        <f t="shared" ref="D4:D27" si="2">B4*C4</f>
        <v>10700947.680255</v>
      </c>
      <c r="E4" s="13">
        <f>E3*1.02</f>
        <v>939828</v>
      </c>
      <c r="F4" s="15">
        <f t="shared" ref="F4:F12" si="3">3748000</f>
        <v>3748000</v>
      </c>
      <c r="G4" s="16">
        <f t="shared" ref="G4:G27" si="4">D4-E4-F4</f>
        <v>6013119.680255</v>
      </c>
      <c r="H4" s="14">
        <f t="shared" ref="H4:H27" si="5">H3+G5</f>
        <v>-33572453.7957343</v>
      </c>
      <c r="I4" s="17">
        <f t="shared" si="0"/>
        <v>4517745.81536814</v>
      </c>
      <c r="J4" s="12"/>
      <c r="K4" s="12"/>
    </row>
    <row r="5" spans="1:11">
      <c r="A5" s="8">
        <v>3</v>
      </c>
      <c r="B5" s="8">
        <f t="shared" si="1"/>
        <v>35616186.76536</v>
      </c>
      <c r="C5" s="8">
        <f t="shared" ref="C5:C27" si="6">C4*(1+5%)</f>
        <v>0.3142125</v>
      </c>
      <c r="D5" s="8">
        <f t="shared" si="2"/>
        <v>11191051.0840107</v>
      </c>
      <c r="E5" s="8">
        <f t="shared" ref="E5:E27" si="7">E4*1.02</f>
        <v>958624.56</v>
      </c>
      <c r="F5" s="9">
        <f t="shared" si="3"/>
        <v>3748000</v>
      </c>
      <c r="G5" s="10">
        <f t="shared" si="4"/>
        <v>6484426.52401068</v>
      </c>
      <c r="H5" s="8">
        <f t="shared" si="5"/>
        <v>-26594649.623276</v>
      </c>
      <c r="I5" s="11">
        <f t="shared" si="0"/>
        <v>4428950.56622545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6"/>
        <v>0.329923125</v>
      </c>
      <c r="D6" s="13">
        <f t="shared" si="2"/>
        <v>11703601.2236584</v>
      </c>
      <c r="E6" s="13">
        <f t="shared" si="7"/>
        <v>977797.0512</v>
      </c>
      <c r="F6" s="15">
        <f t="shared" si="3"/>
        <v>3748000</v>
      </c>
      <c r="G6" s="16">
        <f t="shared" si="4"/>
        <v>6977804.17245837</v>
      </c>
      <c r="H6" s="14">
        <f t="shared" si="5"/>
        <v>-19100376.455798</v>
      </c>
      <c r="I6" s="17">
        <f t="shared" si="0"/>
        <v>4332667.39881054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8">
        <f t="shared" si="6"/>
        <v>0.34641928125</v>
      </c>
      <c r="D7" s="8">
        <f t="shared" si="2"/>
        <v>12239626.1597019</v>
      </c>
      <c r="E7" s="8">
        <f t="shared" si="7"/>
        <v>997352.992224</v>
      </c>
      <c r="F7" s="9">
        <f t="shared" si="3"/>
        <v>3748000</v>
      </c>
      <c r="G7" s="10">
        <f t="shared" si="4"/>
        <v>7494273.16747792</v>
      </c>
      <c r="H7" s="8">
        <f t="shared" si="5"/>
        <v>-11065475.4700502</v>
      </c>
      <c r="I7" s="11">
        <f t="shared" si="0"/>
        <v>4230321.82774283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6"/>
        <v>0.3637402453125</v>
      </c>
      <c r="D8" s="13">
        <f t="shared" si="2"/>
        <v>12800201.0378163</v>
      </c>
      <c r="E8" s="13">
        <f t="shared" si="7"/>
        <v>1017300.05206848</v>
      </c>
      <c r="F8" s="15">
        <f t="shared" si="3"/>
        <v>3748000</v>
      </c>
      <c r="G8" s="16">
        <f t="shared" si="4"/>
        <v>8034900.98574779</v>
      </c>
      <c r="H8" s="14">
        <f t="shared" si="5"/>
        <v>-2464671.27781185</v>
      </c>
      <c r="I8" s="17">
        <f t="shared" si="0"/>
        <v>4123174.67001638</v>
      </c>
      <c r="J8" s="12"/>
      <c r="K8" s="12"/>
    </row>
    <row r="9" spans="1:11">
      <c r="A9" s="8">
        <v>7</v>
      </c>
      <c r="B9" s="8">
        <f t="shared" si="1"/>
        <v>35049737.8224176</v>
      </c>
      <c r="C9" s="8">
        <f t="shared" si="6"/>
        <v>0.381927257578125</v>
      </c>
      <c r="D9" s="8">
        <f t="shared" si="2"/>
        <v>13386450.2453483</v>
      </c>
      <c r="E9" s="8">
        <f t="shared" si="7"/>
        <v>1037646.05310985</v>
      </c>
      <c r="F9" s="9">
        <f t="shared" si="3"/>
        <v>3748000</v>
      </c>
      <c r="G9" s="10">
        <f t="shared" si="4"/>
        <v>8600804.1922384</v>
      </c>
      <c r="H9" s="8">
        <f t="shared" si="5"/>
        <v>6728479.4146013</v>
      </c>
      <c r="I9" s="11">
        <f t="shared" si="0"/>
        <v>4012338.63141803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6"/>
        <v>0.401023620457031</v>
      </c>
      <c r="D10" s="13">
        <f t="shared" si="2"/>
        <v>13999549.6665852</v>
      </c>
      <c r="E10" s="13">
        <f t="shared" si="7"/>
        <v>1058398.97417205</v>
      </c>
      <c r="F10" s="15">
        <f t="shared" si="3"/>
        <v>3748000</v>
      </c>
      <c r="G10" s="16">
        <f t="shared" si="4"/>
        <v>9193150.69241315</v>
      </c>
      <c r="H10" s="14">
        <f t="shared" si="5"/>
        <v>16541641.5022606</v>
      </c>
      <c r="I10" s="17">
        <f t="shared" si="0"/>
        <v>3898793.31399177</v>
      </c>
      <c r="J10" s="12"/>
      <c r="K10" s="12"/>
    </row>
    <row r="11" spans="1:11">
      <c r="A11" s="8">
        <v>9</v>
      </c>
      <c r="B11" s="8">
        <f t="shared" si="1"/>
        <v>34769900.7156435</v>
      </c>
      <c r="C11" s="8">
        <f t="shared" si="6"/>
        <v>0.421074801479883</v>
      </c>
      <c r="D11" s="8">
        <f t="shared" si="2"/>
        <v>14640729.0413148</v>
      </c>
      <c r="E11" s="8">
        <f t="shared" si="7"/>
        <v>1079566.95365549</v>
      </c>
      <c r="F11" s="9">
        <f t="shared" si="3"/>
        <v>3748000</v>
      </c>
      <c r="G11" s="10">
        <f t="shared" si="4"/>
        <v>9813162.08765932</v>
      </c>
      <c r="H11" s="8">
        <f t="shared" si="5"/>
        <v>27003757.640939</v>
      </c>
      <c r="I11" s="11">
        <f t="shared" si="0"/>
        <v>3783398.79098134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6"/>
        <v>0.442128541553877</v>
      </c>
      <c r="D12" s="13">
        <f t="shared" si="2"/>
        <v>15311274.431407</v>
      </c>
      <c r="E12" s="13">
        <f t="shared" si="7"/>
        <v>1101158.2927286</v>
      </c>
      <c r="F12" s="15">
        <f t="shared" si="3"/>
        <v>3748000</v>
      </c>
      <c r="G12" s="16">
        <f t="shared" si="4"/>
        <v>10462116.1386784</v>
      </c>
      <c r="H12" s="14">
        <f t="shared" si="5"/>
        <v>41893106.9827214</v>
      </c>
      <c r="I12" s="17">
        <f t="shared" si="0"/>
        <v>3666907.88227261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8">
        <f t="shared" si="6"/>
        <v>0.464234968631571</v>
      </c>
      <c r="D13" s="8">
        <f t="shared" si="2"/>
        <v>16012530.8003655</v>
      </c>
      <c r="E13" s="8">
        <f t="shared" si="7"/>
        <v>1123181.45858317</v>
      </c>
      <c r="F13" s="9">
        <v>0</v>
      </c>
      <c r="G13" s="10">
        <f t="shared" si="4"/>
        <v>14889349.3417823</v>
      </c>
      <c r="H13" s="8">
        <f t="shared" si="5"/>
        <v>57493366.6059887</v>
      </c>
      <c r="I13" s="11">
        <f t="shared" si="0"/>
        <v>4744205.55594725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6"/>
        <v>0.48744671706315</v>
      </c>
      <c r="D14" s="13">
        <f t="shared" si="2"/>
        <v>16745904.7110222</v>
      </c>
      <c r="E14" s="13">
        <f t="shared" si="7"/>
        <v>1145645.08775483</v>
      </c>
      <c r="F14" s="15">
        <v>0</v>
      </c>
      <c r="G14" s="16">
        <f t="shared" si="4"/>
        <v>15600259.6232674</v>
      </c>
      <c r="H14" s="14">
        <f t="shared" si="5"/>
        <v>73837675.7632658</v>
      </c>
      <c r="I14" s="17">
        <f t="shared" si="0"/>
        <v>4518839.52750504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8">
        <f t="shared" si="6"/>
        <v>0.511819052916307</v>
      </c>
      <c r="D15" s="8">
        <f t="shared" si="2"/>
        <v>17512867.146787</v>
      </c>
      <c r="E15" s="8">
        <f t="shared" si="7"/>
        <v>1168557.98950993</v>
      </c>
      <c r="F15" s="9">
        <v>0</v>
      </c>
      <c r="G15" s="10">
        <f t="shared" si="4"/>
        <v>16344309.1572771</v>
      </c>
      <c r="H15" s="8">
        <f t="shared" si="5"/>
        <v>90960703.0760756</v>
      </c>
      <c r="I15" s="11">
        <f t="shared" si="0"/>
        <v>4303967.43115212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6"/>
        <v>0.537410005562122</v>
      </c>
      <c r="D16" s="13">
        <f t="shared" si="2"/>
        <v>18314956.4621099</v>
      </c>
      <c r="E16" s="13">
        <f t="shared" si="7"/>
        <v>1191929.14930013</v>
      </c>
      <c r="F16" s="15">
        <v>0</v>
      </c>
      <c r="G16" s="16">
        <f t="shared" si="4"/>
        <v>17123027.3128097</v>
      </c>
      <c r="H16" s="14">
        <f t="shared" si="5"/>
        <v>108898716.811864</v>
      </c>
      <c r="I16" s="17">
        <f t="shared" si="0"/>
        <v>4099116.59981768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8">
        <f t="shared" si="6"/>
        <v>0.564280505840228</v>
      </c>
      <c r="D17" s="8">
        <f t="shared" si="2"/>
        <v>19153781.4680745</v>
      </c>
      <c r="E17" s="8">
        <f t="shared" si="7"/>
        <v>1215767.73228613</v>
      </c>
      <c r="F17" s="9">
        <v>0</v>
      </c>
      <c r="G17" s="10">
        <f t="shared" si="4"/>
        <v>17938013.7357884</v>
      </c>
      <c r="H17" s="8">
        <f t="shared" si="5"/>
        <v>127689658.384244</v>
      </c>
      <c r="I17" s="11">
        <f t="shared" si="0"/>
        <v>3903834.42711143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6"/>
        <v>0.59249453113224</v>
      </c>
      <c r="D18" s="13">
        <f t="shared" si="2"/>
        <v>20031024.6593123</v>
      </c>
      <c r="E18" s="13">
        <f t="shared" si="7"/>
        <v>1240083.08693185</v>
      </c>
      <c r="F18" s="15">
        <v>0</v>
      </c>
      <c r="G18" s="16">
        <f t="shared" si="4"/>
        <v>18790941.5723805</v>
      </c>
      <c r="H18" s="14">
        <f t="shared" si="5"/>
        <v>147373219.224283</v>
      </c>
      <c r="I18" s="17">
        <f t="shared" si="0"/>
        <v>3717687.6137094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8">
        <f t="shared" si="6"/>
        <v>0.622119257688852</v>
      </c>
      <c r="D19" s="8">
        <f t="shared" si="2"/>
        <v>20948445.5887088</v>
      </c>
      <c r="E19" s="8">
        <f t="shared" si="7"/>
        <v>1264884.74867049</v>
      </c>
      <c r="F19" s="9">
        <v>0</v>
      </c>
      <c r="G19" s="10">
        <f t="shared" si="4"/>
        <v>19683560.8400383</v>
      </c>
      <c r="H19" s="8">
        <f t="shared" si="5"/>
        <v>167990921.177311</v>
      </c>
      <c r="I19" s="11">
        <f t="shared" si="0"/>
        <v>3540261.43379368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6"/>
        <v>0.653225220573295</v>
      </c>
      <c r="D20" s="13">
        <f t="shared" si="2"/>
        <v>21907884.3966717</v>
      </c>
      <c r="E20" s="13">
        <f t="shared" si="7"/>
        <v>1290182.4436439</v>
      </c>
      <c r="F20" s="15">
        <v>0</v>
      </c>
      <c r="G20" s="16">
        <f t="shared" si="4"/>
        <v>20617701.9530278</v>
      </c>
      <c r="H20" s="14">
        <f t="shared" si="5"/>
        <v>189586200.586833</v>
      </c>
      <c r="I20" s="17">
        <f t="shared" si="0"/>
        <v>3371159.02180037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8">
        <f t="shared" si="6"/>
        <v>0.685886481601959</v>
      </c>
      <c r="D21" s="8">
        <f t="shared" si="2"/>
        <v>22911265.5020392</v>
      </c>
      <c r="E21" s="8">
        <f t="shared" si="7"/>
        <v>1315986.09251678</v>
      </c>
      <c r="F21" s="9">
        <v>0</v>
      </c>
      <c r="G21" s="10">
        <f t="shared" si="4"/>
        <v>21595279.4095225</v>
      </c>
      <c r="H21" s="8">
        <f t="shared" si="5"/>
        <v>212204496.234499</v>
      </c>
      <c r="I21" s="11">
        <f t="shared" si="0"/>
        <v>3210000.6796265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6"/>
        <v>0.720180805682057</v>
      </c>
      <c r="D22" s="13">
        <f t="shared" si="2"/>
        <v>23960601.4620326</v>
      </c>
      <c r="E22" s="13">
        <f t="shared" si="7"/>
        <v>1342305.81436711</v>
      </c>
      <c r="F22" s="15">
        <v>0</v>
      </c>
      <c r="G22" s="16">
        <f t="shared" si="4"/>
        <v>22618295.6476655</v>
      </c>
      <c r="H22" s="14">
        <f t="shared" si="5"/>
        <v>235893341.312838</v>
      </c>
      <c r="I22" s="17">
        <f t="shared" si="0"/>
        <v>3056423.20435609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8">
        <f t="shared" si="6"/>
        <v>0.75618984596616</v>
      </c>
      <c r="D23" s="8">
        <f t="shared" si="2"/>
        <v>25057997.0089937</v>
      </c>
      <c r="E23" s="8">
        <f t="shared" si="7"/>
        <v>1369151.93065446</v>
      </c>
      <c r="F23" s="9">
        <v>0</v>
      </c>
      <c r="G23" s="10">
        <f t="shared" si="4"/>
        <v>23688845.0783393</v>
      </c>
      <c r="H23" s="8">
        <f t="shared" si="5"/>
        <v>260702459.615576</v>
      </c>
      <c r="I23" s="11">
        <f t="shared" si="0"/>
        <v>2910079.23648448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6"/>
        <v>0.793999338264468</v>
      </c>
      <c r="D24" s="13">
        <f t="shared" si="2"/>
        <v>26205653.2720057</v>
      </c>
      <c r="E24" s="13">
        <f t="shared" si="7"/>
        <v>1396534.96926755</v>
      </c>
      <c r="F24" s="15">
        <v>0</v>
      </c>
      <c r="G24" s="16">
        <f t="shared" si="4"/>
        <v>24809118.3027381</v>
      </c>
      <c r="H24" s="14">
        <f t="shared" si="5"/>
        <v>286683866.138787</v>
      </c>
      <c r="I24" s="17">
        <f t="shared" si="0"/>
        <v>2770636.62854934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8">
        <f t="shared" si="6"/>
        <v>0.833699305177692</v>
      </c>
      <c r="D25" s="8">
        <f t="shared" si="2"/>
        <v>27405872.1918635</v>
      </c>
      <c r="E25" s="8">
        <f t="shared" si="7"/>
        <v>1424465.6686529</v>
      </c>
      <c r="F25" s="9">
        <v>0</v>
      </c>
      <c r="G25" s="10">
        <f t="shared" si="4"/>
        <v>25981406.5232106</v>
      </c>
      <c r="H25" s="8">
        <f t="shared" si="5"/>
        <v>313891972.295011</v>
      </c>
      <c r="I25" s="11">
        <f t="shared" si="0"/>
        <v>2637777.83401419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6"/>
        <v>0.875384270436576</v>
      </c>
      <c r="D26" s="13">
        <f t="shared" si="2"/>
        <v>28661061.1382509</v>
      </c>
      <c r="E26" s="13">
        <f t="shared" si="7"/>
        <v>1452954.98202595</v>
      </c>
      <c r="F26" s="15">
        <v>0</v>
      </c>
      <c r="G26" s="16">
        <f t="shared" si="4"/>
        <v>27208106.1562249</v>
      </c>
      <c r="H26" s="14">
        <f t="shared" si="5"/>
        <v>342383695.951728</v>
      </c>
      <c r="I26" s="17">
        <f t="shared" si="0"/>
        <v>2511199.3161963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9">
        <f t="shared" si="6"/>
        <v>0.919153483958405</v>
      </c>
      <c r="D27" s="19">
        <f t="shared" si="2"/>
        <v>29973737.7383828</v>
      </c>
      <c r="E27" s="19">
        <f t="shared" si="7"/>
        <v>1482014.08166647</v>
      </c>
      <c r="F27" s="21">
        <v>0</v>
      </c>
      <c r="G27" s="22">
        <f t="shared" si="4"/>
        <v>28491723.6567163</v>
      </c>
      <c r="H27" s="20">
        <f t="shared" si="5"/>
        <v>342383695.951728</v>
      </c>
      <c r="I27" s="23">
        <f t="shared" si="0"/>
        <v>28491723.6567163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C17" sqref="C17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 t="shared" ref="I2:I27" si="0">G2/(1+10%)^A3</f>
        <v>-41881818.1818182</v>
      </c>
      <c r="J2" s="6">
        <f>NPV(10%,G3:G27)+G2</f>
        <v>26153334.7745442</v>
      </c>
      <c r="K2" s="7">
        <f>IRR(G2:G27)</f>
        <v>0.153649401109558</v>
      </c>
    </row>
    <row r="3" spans="1:11">
      <c r="A3" s="8">
        <v>1</v>
      </c>
      <c r="B3" s="8">
        <f t="shared" ref="B3:B27" si="1">35902835*(1-0.004)^(A3-1)</f>
        <v>35902835</v>
      </c>
      <c r="C3" s="8">
        <v>0.285</v>
      </c>
      <c r="D3" s="8">
        <f t="shared" ref="D3:D27" si="2">B3*C3</f>
        <v>10232307.975</v>
      </c>
      <c r="E3" s="8">
        <v>921400</v>
      </c>
      <c r="F3" s="9">
        <v>3748000</v>
      </c>
      <c r="G3" s="10">
        <f t="shared" ref="G3:G27" si="3">D3-E3-F3</f>
        <v>5562907.975</v>
      </c>
      <c r="H3" s="8">
        <f t="shared" ref="H3:H27" si="4">H2+G4</f>
        <v>-40362621.682038</v>
      </c>
      <c r="I3" s="11">
        <f t="shared" si="0"/>
        <v>4597444.60743802</v>
      </c>
      <c r="J3" s="12"/>
      <c r="K3" s="12"/>
    </row>
    <row r="4" spans="1:11">
      <c r="A4" s="13">
        <v>2</v>
      </c>
      <c r="B4" s="14">
        <f t="shared" si="1"/>
        <v>35759223.66</v>
      </c>
      <c r="C4" s="13">
        <f>C3*(1+2%)</f>
        <v>0.2907</v>
      </c>
      <c r="D4" s="13">
        <f t="shared" si="2"/>
        <v>10395206.317962</v>
      </c>
      <c r="E4" s="13">
        <f t="shared" ref="E4:E27" si="5">E3*1.02</f>
        <v>939828</v>
      </c>
      <c r="F4" s="15">
        <f t="shared" ref="F4:F12" si="6">3748000</f>
        <v>3748000</v>
      </c>
      <c r="G4" s="16">
        <f t="shared" si="3"/>
        <v>5707378.317962</v>
      </c>
      <c r="H4" s="14">
        <f t="shared" si="4"/>
        <v>-34508548.239494</v>
      </c>
      <c r="I4" s="17">
        <f t="shared" si="0"/>
        <v>4288037.8046296</v>
      </c>
      <c r="J4" s="12"/>
      <c r="K4" s="12"/>
    </row>
    <row r="5" spans="1:11">
      <c r="A5" s="8">
        <v>3</v>
      </c>
      <c r="B5" s="8">
        <f t="shared" si="1"/>
        <v>35616186.76536</v>
      </c>
      <c r="C5" s="18">
        <f t="shared" ref="C5:C27" si="7">C4*(1+2%)</f>
        <v>0.296514</v>
      </c>
      <c r="D5" s="8">
        <f t="shared" si="2"/>
        <v>10560698.002544</v>
      </c>
      <c r="E5" s="8">
        <f t="shared" si="5"/>
        <v>958624.56</v>
      </c>
      <c r="F5" s="9">
        <f t="shared" si="6"/>
        <v>3748000</v>
      </c>
      <c r="G5" s="10">
        <f t="shared" si="3"/>
        <v>5854073.44254395</v>
      </c>
      <c r="H5" s="8">
        <f t="shared" si="4"/>
        <v>-28505520.9759496</v>
      </c>
      <c r="I5" s="11">
        <f t="shared" si="0"/>
        <v>3998410.92995284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7"/>
        <v>0.30244428</v>
      </c>
      <c r="D6" s="13">
        <f t="shared" si="2"/>
        <v>10728824.3147445</v>
      </c>
      <c r="E6" s="13">
        <f t="shared" si="5"/>
        <v>977797.0512</v>
      </c>
      <c r="F6" s="15">
        <f t="shared" si="6"/>
        <v>3748000</v>
      </c>
      <c r="G6" s="16">
        <f t="shared" si="3"/>
        <v>6003027.26354445</v>
      </c>
      <c r="H6" s="14">
        <f t="shared" si="4"/>
        <v>-22351246.7703384</v>
      </c>
      <c r="I6" s="17">
        <f t="shared" si="0"/>
        <v>3727407.6308402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18">
        <f t="shared" si="7"/>
        <v>0.3084931656</v>
      </c>
      <c r="D7" s="8">
        <f t="shared" si="2"/>
        <v>10899627.1978352</v>
      </c>
      <c r="E7" s="8">
        <f t="shared" si="5"/>
        <v>997352.992224</v>
      </c>
      <c r="F7" s="9">
        <f t="shared" si="6"/>
        <v>3748000</v>
      </c>
      <c r="G7" s="10">
        <f t="shared" si="3"/>
        <v>6154274.20561118</v>
      </c>
      <c r="H7" s="8">
        <f t="shared" si="4"/>
        <v>-16043397.5595822</v>
      </c>
      <c r="I7" s="11">
        <f t="shared" si="0"/>
        <v>3473927.34746993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7"/>
        <v>0.314663028912</v>
      </c>
      <c r="D8" s="13">
        <f t="shared" si="2"/>
        <v>11073149.2628247</v>
      </c>
      <c r="E8" s="13">
        <f t="shared" si="5"/>
        <v>1017300.05206848</v>
      </c>
      <c r="F8" s="15">
        <f t="shared" si="6"/>
        <v>3748000</v>
      </c>
      <c r="G8" s="16">
        <f t="shared" si="3"/>
        <v>6307849.21075624</v>
      </c>
      <c r="H8" s="14">
        <f t="shared" si="4"/>
        <v>-9579609.81360313</v>
      </c>
      <c r="I8" s="17">
        <f t="shared" si="0"/>
        <v>3236924.03107472</v>
      </c>
      <c r="J8" s="12"/>
      <c r="K8" s="12"/>
    </row>
    <row r="9" spans="1:11">
      <c r="A9" s="8">
        <v>7</v>
      </c>
      <c r="B9" s="8">
        <f t="shared" si="1"/>
        <v>35049737.8224176</v>
      </c>
      <c r="C9" s="18">
        <f t="shared" si="7"/>
        <v>0.32095628949024</v>
      </c>
      <c r="D9" s="8">
        <f t="shared" si="2"/>
        <v>11249433.7990889</v>
      </c>
      <c r="E9" s="8">
        <f t="shared" si="5"/>
        <v>1037646.05310985</v>
      </c>
      <c r="F9" s="9">
        <f t="shared" si="6"/>
        <v>3748000</v>
      </c>
      <c r="G9" s="10">
        <f t="shared" si="3"/>
        <v>6463787.74597904</v>
      </c>
      <c r="H9" s="8">
        <f t="shared" si="4"/>
        <v>-2957484.00260479</v>
      </c>
      <c r="I9" s="11">
        <f t="shared" si="0"/>
        <v>3015404.68760846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7"/>
        <v>0.327375415280045</v>
      </c>
      <c r="D10" s="13">
        <f t="shared" si="2"/>
        <v>11428524.7851704</v>
      </c>
      <c r="E10" s="13">
        <f t="shared" si="5"/>
        <v>1058398.97417205</v>
      </c>
      <c r="F10" s="15">
        <f t="shared" si="6"/>
        <v>3748000</v>
      </c>
      <c r="G10" s="16">
        <f t="shared" si="3"/>
        <v>6622125.81099834</v>
      </c>
      <c r="H10" s="14">
        <f t="shared" si="4"/>
        <v>3825415.94349002</v>
      </c>
      <c r="I10" s="17">
        <f t="shared" si="0"/>
        <v>2808427.78500735</v>
      </c>
      <c r="J10" s="12"/>
      <c r="K10" s="12"/>
    </row>
    <row r="11" spans="1:11">
      <c r="A11" s="8">
        <v>9</v>
      </c>
      <c r="B11" s="8">
        <f t="shared" si="1"/>
        <v>34769900.7156435</v>
      </c>
      <c r="C11" s="18">
        <f t="shared" si="7"/>
        <v>0.333922923585646</v>
      </c>
      <c r="D11" s="8">
        <f t="shared" si="2"/>
        <v>11610466.8997503</v>
      </c>
      <c r="E11" s="8">
        <f t="shared" si="5"/>
        <v>1079566.95365549</v>
      </c>
      <c r="F11" s="9">
        <f t="shared" si="6"/>
        <v>3748000</v>
      </c>
      <c r="G11" s="10">
        <f t="shared" si="3"/>
        <v>6782899.94609481</v>
      </c>
      <c r="H11" s="8">
        <f t="shared" si="4"/>
        <v>10771563.1835557</v>
      </c>
      <c r="I11" s="11">
        <f t="shared" si="0"/>
        <v>2615101.55708878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7"/>
        <v>0.340601382057359</v>
      </c>
      <c r="D12" s="13">
        <f t="shared" si="2"/>
        <v>11795305.5327943</v>
      </c>
      <c r="E12" s="13">
        <f t="shared" si="5"/>
        <v>1101158.2927286</v>
      </c>
      <c r="F12" s="15">
        <f t="shared" si="6"/>
        <v>3748000</v>
      </c>
      <c r="G12" s="16">
        <f t="shared" si="3"/>
        <v>6946147.24006572</v>
      </c>
      <c r="H12" s="14">
        <f t="shared" si="4"/>
        <v>21631468.521849</v>
      </c>
      <c r="I12" s="17">
        <f t="shared" si="0"/>
        <v>2434582.23254255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18">
        <f t="shared" si="7"/>
        <v>0.347413409698506</v>
      </c>
      <c r="D13" s="8">
        <f t="shared" si="2"/>
        <v>11983086.7968764</v>
      </c>
      <c r="E13" s="8">
        <f t="shared" si="5"/>
        <v>1123181.45858317</v>
      </c>
      <c r="F13" s="9">
        <v>0</v>
      </c>
      <c r="G13" s="10">
        <f t="shared" si="3"/>
        <v>10859905.3382932</v>
      </c>
      <c r="H13" s="8">
        <f t="shared" si="4"/>
        <v>32659680.9727768</v>
      </c>
      <c r="I13" s="11">
        <f t="shared" si="0"/>
        <v>3460300.51819744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7"/>
        <v>0.354361677892476</v>
      </c>
      <c r="D14" s="13">
        <f t="shared" si="2"/>
        <v>12173857.5386827</v>
      </c>
      <c r="E14" s="13">
        <f t="shared" si="5"/>
        <v>1145645.08775483</v>
      </c>
      <c r="F14" s="15">
        <v>0</v>
      </c>
      <c r="G14" s="16">
        <f t="shared" si="3"/>
        <v>11028212.4509278</v>
      </c>
      <c r="H14" s="14">
        <f t="shared" si="4"/>
        <v>43858788.3339654</v>
      </c>
      <c r="I14" s="17">
        <f t="shared" si="0"/>
        <v>3194480.31920243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18">
        <f t="shared" si="7"/>
        <v>0.361448911450325</v>
      </c>
      <c r="D15" s="8">
        <f t="shared" si="2"/>
        <v>12367665.3506985</v>
      </c>
      <c r="E15" s="8">
        <f t="shared" si="5"/>
        <v>1168557.98950993</v>
      </c>
      <c r="F15" s="9">
        <v>0</v>
      </c>
      <c r="G15" s="10">
        <f t="shared" si="3"/>
        <v>11199107.3611886</v>
      </c>
      <c r="H15" s="8">
        <f t="shared" si="4"/>
        <v>55231417.7677469</v>
      </c>
      <c r="I15" s="11">
        <f t="shared" si="0"/>
        <v>2949074.98853024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7"/>
        <v>0.368677889679332</v>
      </c>
      <c r="D16" s="13">
        <f t="shared" si="2"/>
        <v>12564558.5830816</v>
      </c>
      <c r="E16" s="13">
        <f t="shared" si="5"/>
        <v>1191929.14930013</v>
      </c>
      <c r="F16" s="15">
        <v>0</v>
      </c>
      <c r="G16" s="16">
        <f t="shared" si="3"/>
        <v>11372629.4337815</v>
      </c>
      <c r="H16" s="14">
        <f t="shared" si="4"/>
        <v>66780236.3911851</v>
      </c>
      <c r="I16" s="17">
        <f t="shared" si="0"/>
        <v>2722517.06686902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18">
        <f t="shared" si="7"/>
        <v>0.376051447472919</v>
      </c>
      <c r="D17" s="8">
        <f t="shared" si="2"/>
        <v>12764586.3557243</v>
      </c>
      <c r="E17" s="8">
        <f t="shared" si="5"/>
        <v>1215767.73228613</v>
      </c>
      <c r="F17" s="9">
        <v>0</v>
      </c>
      <c r="G17" s="10">
        <f t="shared" si="3"/>
        <v>11548818.6234382</v>
      </c>
      <c r="H17" s="8">
        <f t="shared" si="4"/>
        <v>78507951.8747606</v>
      </c>
      <c r="I17" s="11">
        <f t="shared" si="0"/>
        <v>2513359.41641602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7"/>
        <v>0.383572476422377</v>
      </c>
      <c r="D18" s="13">
        <f t="shared" si="2"/>
        <v>12967798.5705074</v>
      </c>
      <c r="E18" s="13">
        <f t="shared" si="5"/>
        <v>1240083.08693185</v>
      </c>
      <c r="F18" s="15">
        <v>0</v>
      </c>
      <c r="G18" s="16">
        <f t="shared" si="3"/>
        <v>11727715.4835756</v>
      </c>
      <c r="H18" s="14">
        <f t="shared" si="4"/>
        <v>90417313.04984</v>
      </c>
      <c r="I18" s="17">
        <f t="shared" si="0"/>
        <v>2320265.98680299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18">
        <f t="shared" si="7"/>
        <v>0.391243925950825</v>
      </c>
      <c r="D19" s="8">
        <f t="shared" si="2"/>
        <v>13174245.9237499</v>
      </c>
      <c r="E19" s="8">
        <f t="shared" si="5"/>
        <v>1264884.74867049</v>
      </c>
      <c r="F19" s="9">
        <v>0</v>
      </c>
      <c r="G19" s="10">
        <f t="shared" si="3"/>
        <v>11909361.1750794</v>
      </c>
      <c r="H19" s="8">
        <f t="shared" si="4"/>
        <v>102511110.525052</v>
      </c>
      <c r="I19" s="11">
        <f t="shared" si="0"/>
        <v>2142003.28954155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7"/>
        <v>0.399068804469841</v>
      </c>
      <c r="D20" s="13">
        <f t="shared" si="2"/>
        <v>13383979.918856</v>
      </c>
      <c r="E20" s="13">
        <f t="shared" si="5"/>
        <v>1290182.4436439</v>
      </c>
      <c r="F20" s="15">
        <v>0</v>
      </c>
      <c r="G20" s="16">
        <f t="shared" si="3"/>
        <v>12093797.4752121</v>
      </c>
      <c r="H20" s="14">
        <f t="shared" si="4"/>
        <v>114792177.3117</v>
      </c>
      <c r="I20" s="17">
        <f t="shared" si="0"/>
        <v>1977432.52663523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18">
        <f t="shared" si="7"/>
        <v>0.407050180559238</v>
      </c>
      <c r="D21" s="8">
        <f t="shared" si="2"/>
        <v>13597052.8791642</v>
      </c>
      <c r="E21" s="8">
        <f t="shared" si="5"/>
        <v>1315986.09251678</v>
      </c>
      <c r="F21" s="9">
        <v>0</v>
      </c>
      <c r="G21" s="10">
        <f t="shared" si="3"/>
        <v>12281066.7866474</v>
      </c>
      <c r="H21" s="8">
        <f t="shared" si="4"/>
        <v>127263389.458333</v>
      </c>
      <c r="I21" s="11">
        <f t="shared" si="0"/>
        <v>1825502.32317408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7"/>
        <v>0.415191184170423</v>
      </c>
      <c r="D22" s="13">
        <f t="shared" si="2"/>
        <v>13813517.9610005</v>
      </c>
      <c r="E22" s="13">
        <f t="shared" si="5"/>
        <v>1342305.81436711</v>
      </c>
      <c r="F22" s="15">
        <v>0</v>
      </c>
      <c r="G22" s="16">
        <f t="shared" si="3"/>
        <v>12471212.1466334</v>
      </c>
      <c r="H22" s="14">
        <f t="shared" si="4"/>
        <v>139927666.694618</v>
      </c>
      <c r="I22" s="17">
        <f t="shared" si="0"/>
        <v>1685242.01757668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18">
        <f t="shared" si="7"/>
        <v>0.423495007853831</v>
      </c>
      <c r="D23" s="8">
        <f t="shared" si="2"/>
        <v>14033429.1669396</v>
      </c>
      <c r="E23" s="8">
        <f t="shared" si="5"/>
        <v>1369151.93065446</v>
      </c>
      <c r="F23" s="9">
        <v>0</v>
      </c>
      <c r="G23" s="10">
        <f t="shared" si="3"/>
        <v>12664277.2362852</v>
      </c>
      <c r="H23" s="8">
        <f t="shared" si="4"/>
        <v>152787973.084628</v>
      </c>
      <c r="I23" s="11">
        <f t="shared" si="0"/>
        <v>1555755.46669834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7"/>
        <v>0.431964908010908</v>
      </c>
      <c r="D24" s="13">
        <f t="shared" si="2"/>
        <v>14256841.3592773</v>
      </c>
      <c r="E24" s="13">
        <f t="shared" si="5"/>
        <v>1396534.96926755</v>
      </c>
      <c r="F24" s="15">
        <v>0</v>
      </c>
      <c r="G24" s="16">
        <f t="shared" si="3"/>
        <v>12860306.3900097</v>
      </c>
      <c r="H24" s="14">
        <f t="shared" si="4"/>
        <v>165847317.689692</v>
      </c>
      <c r="I24" s="17">
        <f t="shared" si="0"/>
        <v>1436215.32630588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18">
        <f t="shared" si="7"/>
        <v>0.440604206171126</v>
      </c>
      <c r="D25" s="8">
        <f t="shared" si="2"/>
        <v>14483810.273717</v>
      </c>
      <c r="E25" s="8">
        <f t="shared" si="5"/>
        <v>1424465.6686529</v>
      </c>
      <c r="F25" s="9">
        <v>0</v>
      </c>
      <c r="G25" s="10">
        <f t="shared" si="3"/>
        <v>13059344.6050641</v>
      </c>
      <c r="H25" s="8">
        <f t="shared" si="4"/>
        <v>179108755.240941</v>
      </c>
      <c r="I25" s="11">
        <f t="shared" si="0"/>
        <v>1325857.77044891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7"/>
        <v>0.449416290294548</v>
      </c>
      <c r="D26" s="13">
        <f t="shared" si="2"/>
        <v>14714392.5332746</v>
      </c>
      <c r="E26" s="13">
        <f t="shared" si="5"/>
        <v>1452954.98202595</v>
      </c>
      <c r="F26" s="15">
        <v>0</v>
      </c>
      <c r="G26" s="16">
        <f t="shared" si="3"/>
        <v>13261437.5512486</v>
      </c>
      <c r="H26" s="14">
        <f t="shared" si="4"/>
        <v>192575386.821678</v>
      </c>
      <c r="I26" s="17">
        <f t="shared" si="0"/>
        <v>1223977.61605529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8">
        <f t="shared" si="7"/>
        <v>0.458404616100439</v>
      </c>
      <c r="D27" s="19">
        <f t="shared" si="2"/>
        <v>14948645.6624043</v>
      </c>
      <c r="E27" s="19">
        <f t="shared" si="5"/>
        <v>1482014.08166647</v>
      </c>
      <c r="F27" s="21">
        <v>0</v>
      </c>
      <c r="G27" s="22">
        <f t="shared" si="3"/>
        <v>13466631.5807378</v>
      </c>
      <c r="H27" s="20">
        <f t="shared" si="4"/>
        <v>192575386.821678</v>
      </c>
      <c r="I27" s="23">
        <f t="shared" si="0"/>
        <v>13466631.5807378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K17" sqref="K17"/>
    </sheetView>
  </sheetViews>
  <sheetFormatPr defaultColWidth="8.88888888888889" defaultRowHeight="14.4"/>
  <cols>
    <col min="2" max="2" width="15.1111111111111" customWidth="1"/>
    <col min="3" max="3" width="14" customWidth="1"/>
    <col min="4" max="4" width="14.1111111111111"/>
    <col min="5" max="5" width="12.8888888888889"/>
    <col min="6" max="6" width="17" customWidth="1"/>
    <col min="7" max="7" width="13.8888888888889" customWidth="1"/>
    <col min="8" max="8" width="16.1111111111111" customWidth="1"/>
    <col min="9" max="9" width="17.5555555555556" customWidth="1"/>
    <col min="10" max="10" width="15.5555555555556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0</v>
      </c>
      <c r="B2" s="3">
        <v>0</v>
      </c>
      <c r="C2" s="3">
        <v>0</v>
      </c>
      <c r="D2" s="3">
        <v>-46070000</v>
      </c>
      <c r="E2" s="3">
        <v>0</v>
      </c>
      <c r="F2" s="4">
        <v>0</v>
      </c>
      <c r="G2" s="3">
        <v>-46070000</v>
      </c>
      <c r="H2" s="3">
        <v>-46070000</v>
      </c>
      <c r="I2" s="5">
        <f t="shared" ref="I2:I27" si="0">G2/(1+10%)^A3</f>
        <v>-41881818.1818182</v>
      </c>
      <c r="J2" s="6">
        <f>NPV(10%,G3:G27)+G2</f>
        <v>101277061.256792</v>
      </c>
      <c r="K2" s="7">
        <f>IRR(G2:G27)</f>
        <v>0.227799286405702</v>
      </c>
    </row>
    <row r="3" spans="1:11">
      <c r="A3" s="8">
        <v>1</v>
      </c>
      <c r="B3" s="8">
        <f t="shared" ref="B3:B27" si="1">35902835*(1-0.004)^(A3-1)</f>
        <v>35902835</v>
      </c>
      <c r="C3" s="8">
        <v>0.285</v>
      </c>
      <c r="D3" s="8">
        <f t="shared" ref="D3:D27" si="2">B3*C3</f>
        <v>10232307.975</v>
      </c>
      <c r="E3" s="8">
        <v>921400</v>
      </c>
      <c r="F3" s="9">
        <v>3748000</v>
      </c>
      <c r="G3" s="10">
        <f t="shared" ref="G3:G27" si="3">D3-E3-F3</f>
        <v>5562907.975</v>
      </c>
      <c r="H3" s="8">
        <f t="shared" ref="H3:H27" si="4">H2+G4</f>
        <v>-39751138.957452</v>
      </c>
      <c r="I3" s="11">
        <f t="shared" si="0"/>
        <v>4597444.60743802</v>
      </c>
      <c r="J3" s="12"/>
      <c r="K3" s="12"/>
    </row>
    <row r="4" spans="1:11">
      <c r="A4" s="13">
        <v>2</v>
      </c>
      <c r="B4" s="14">
        <f t="shared" si="1"/>
        <v>35759223.66</v>
      </c>
      <c r="C4" s="13">
        <f>C3*(1+8%)</f>
        <v>0.3078</v>
      </c>
      <c r="D4" s="13">
        <f t="shared" si="2"/>
        <v>11006689.042548</v>
      </c>
      <c r="E4" s="13">
        <f t="shared" ref="E4:E27" si="5">E3*1.02</f>
        <v>939828</v>
      </c>
      <c r="F4" s="15">
        <f t="shared" ref="F4:F12" si="6">3748000</f>
        <v>3748000</v>
      </c>
      <c r="G4" s="16">
        <f t="shared" si="3"/>
        <v>6318861.042548</v>
      </c>
      <c r="H4" s="14">
        <f t="shared" si="4"/>
        <v>-32618088.248164</v>
      </c>
      <c r="I4" s="17">
        <f t="shared" si="0"/>
        <v>4747453.82610668</v>
      </c>
      <c r="J4" s="12"/>
      <c r="K4" s="12"/>
    </row>
    <row r="5" spans="1:11">
      <c r="A5" s="8">
        <v>3</v>
      </c>
      <c r="B5" s="8">
        <f t="shared" si="1"/>
        <v>35616186.76536</v>
      </c>
      <c r="C5" s="18">
        <f t="shared" ref="C5:C27" si="7">C4*(1+8%)</f>
        <v>0.332424</v>
      </c>
      <c r="D5" s="8">
        <f t="shared" si="2"/>
        <v>11839675.269288</v>
      </c>
      <c r="E5" s="8">
        <f t="shared" si="5"/>
        <v>958624.56</v>
      </c>
      <c r="F5" s="9">
        <f t="shared" si="6"/>
        <v>3748000</v>
      </c>
      <c r="G5" s="10">
        <f t="shared" si="3"/>
        <v>7133050.70928803</v>
      </c>
      <c r="H5" s="8">
        <f t="shared" si="4"/>
        <v>-24608183.4056962</v>
      </c>
      <c r="I5" s="11">
        <f t="shared" si="0"/>
        <v>4871969.61224509</v>
      </c>
      <c r="J5" s="12"/>
      <c r="K5" s="12"/>
    </row>
    <row r="6" spans="1:11">
      <c r="A6" s="13">
        <v>4</v>
      </c>
      <c r="B6" s="14">
        <f t="shared" si="1"/>
        <v>35473722.0182986</v>
      </c>
      <c r="C6" s="13">
        <f t="shared" si="7"/>
        <v>0.35901792</v>
      </c>
      <c r="D6" s="13">
        <f t="shared" si="2"/>
        <v>12735701.8936678</v>
      </c>
      <c r="E6" s="13">
        <f t="shared" si="5"/>
        <v>977797.0512</v>
      </c>
      <c r="F6" s="15">
        <f t="shared" si="6"/>
        <v>3748000</v>
      </c>
      <c r="G6" s="16">
        <f t="shared" si="3"/>
        <v>8009904.84246775</v>
      </c>
      <c r="H6" s="14">
        <f t="shared" si="4"/>
        <v>-15653996.5849397</v>
      </c>
      <c r="I6" s="17">
        <f t="shared" si="0"/>
        <v>4973520.71236301</v>
      </c>
      <c r="J6" s="12"/>
      <c r="K6" s="12"/>
    </row>
    <row r="7" ht="15" customHeight="1" spans="1:11">
      <c r="A7" s="8">
        <v>5</v>
      </c>
      <c r="B7" s="8">
        <f t="shared" si="1"/>
        <v>35331827.1302254</v>
      </c>
      <c r="C7" s="18">
        <f t="shared" si="7"/>
        <v>0.3877393536</v>
      </c>
      <c r="D7" s="8">
        <f t="shared" si="2"/>
        <v>13699539.8129805</v>
      </c>
      <c r="E7" s="8">
        <f t="shared" si="5"/>
        <v>997352.992224</v>
      </c>
      <c r="F7" s="9">
        <f t="shared" si="6"/>
        <v>3748000</v>
      </c>
      <c r="G7" s="10">
        <f t="shared" si="3"/>
        <v>8954186.82075653</v>
      </c>
      <c r="H7" s="8">
        <f t="shared" si="4"/>
        <v>-5682975.65098127</v>
      </c>
      <c r="I7" s="11">
        <f t="shared" si="0"/>
        <v>5054405.02514817</v>
      </c>
      <c r="J7" s="12"/>
      <c r="K7" s="12"/>
    </row>
    <row r="8" spans="1:11">
      <c r="A8" s="13">
        <v>6</v>
      </c>
      <c r="B8" s="14">
        <f t="shared" si="1"/>
        <v>35190499.8217045</v>
      </c>
      <c r="C8" s="13">
        <f t="shared" si="7"/>
        <v>0.418758501888</v>
      </c>
      <c r="D8" s="13">
        <f t="shared" si="2"/>
        <v>14736320.9860269</v>
      </c>
      <c r="E8" s="13">
        <f t="shared" si="5"/>
        <v>1017300.05206848</v>
      </c>
      <c r="F8" s="15">
        <f t="shared" si="6"/>
        <v>3748000</v>
      </c>
      <c r="G8" s="16">
        <f t="shared" si="3"/>
        <v>9971020.93395842</v>
      </c>
      <c r="H8" s="14">
        <f t="shared" si="4"/>
        <v>5382944.0541583</v>
      </c>
      <c r="I8" s="17">
        <f t="shared" si="0"/>
        <v>5116710.33930908</v>
      </c>
      <c r="J8" s="12"/>
      <c r="K8" s="12"/>
    </row>
    <row r="9" spans="1:11">
      <c r="A9" s="8">
        <v>7</v>
      </c>
      <c r="B9" s="8">
        <f t="shared" si="1"/>
        <v>35049737.8224176</v>
      </c>
      <c r="C9" s="18">
        <f t="shared" si="7"/>
        <v>0.45225918203904</v>
      </c>
      <c r="D9" s="8">
        <f t="shared" si="2"/>
        <v>15851565.7582494</v>
      </c>
      <c r="E9" s="8">
        <f t="shared" si="5"/>
        <v>1037646.05310985</v>
      </c>
      <c r="F9" s="9">
        <f t="shared" si="6"/>
        <v>3748000</v>
      </c>
      <c r="G9" s="10">
        <f t="shared" si="3"/>
        <v>11065919.7051396</v>
      </c>
      <c r="H9" s="8">
        <f t="shared" si="4"/>
        <v>17627757.33482</v>
      </c>
      <c r="I9" s="11">
        <f t="shared" si="0"/>
        <v>5162333.21125592</v>
      </c>
      <c r="J9" s="12"/>
      <c r="K9" s="12"/>
    </row>
    <row r="10" spans="1:11">
      <c r="A10" s="13">
        <v>8</v>
      </c>
      <c r="B10" s="14">
        <f t="shared" si="1"/>
        <v>34909538.871128</v>
      </c>
      <c r="C10" s="13">
        <f t="shared" si="7"/>
        <v>0.488439916602163</v>
      </c>
      <c r="D10" s="13">
        <f t="shared" si="2"/>
        <v>17051212.2548337</v>
      </c>
      <c r="E10" s="13">
        <f t="shared" si="5"/>
        <v>1058398.97417205</v>
      </c>
      <c r="F10" s="15">
        <f t="shared" si="6"/>
        <v>3748000</v>
      </c>
      <c r="G10" s="16">
        <f t="shared" si="3"/>
        <v>12244813.2806617</v>
      </c>
      <c r="H10" s="14">
        <f t="shared" si="4"/>
        <v>31141838.379444</v>
      </c>
      <c r="I10" s="17">
        <f t="shared" si="0"/>
        <v>5192996.14974439</v>
      </c>
      <c r="J10" s="12"/>
      <c r="K10" s="12"/>
    </row>
    <row r="11" spans="1:11">
      <c r="A11" s="8">
        <v>9</v>
      </c>
      <c r="B11" s="8">
        <f t="shared" si="1"/>
        <v>34769900.7156435</v>
      </c>
      <c r="C11" s="18">
        <f t="shared" si="7"/>
        <v>0.527515109930336</v>
      </c>
      <c r="D11" s="8">
        <f t="shared" si="2"/>
        <v>18341647.9982795</v>
      </c>
      <c r="E11" s="8">
        <f t="shared" si="5"/>
        <v>1079566.95365549</v>
      </c>
      <c r="F11" s="9">
        <f t="shared" si="6"/>
        <v>3748000</v>
      </c>
      <c r="G11" s="10">
        <f t="shared" si="3"/>
        <v>13514081.0446241</v>
      </c>
      <c r="H11" s="8">
        <f t="shared" si="4"/>
        <v>46022424.0055048</v>
      </c>
      <c r="I11" s="11">
        <f t="shared" si="0"/>
        <v>5210263.25956164</v>
      </c>
      <c r="J11" s="12"/>
      <c r="K11" s="12"/>
    </row>
    <row r="12" spans="1:11">
      <c r="A12" s="13">
        <v>10</v>
      </c>
      <c r="B12" s="14">
        <f t="shared" si="1"/>
        <v>34630821.1127809</v>
      </c>
      <c r="C12" s="13">
        <f t="shared" si="7"/>
        <v>0.569716318724763</v>
      </c>
      <c r="D12" s="13">
        <f t="shared" si="2"/>
        <v>19729743.9187893</v>
      </c>
      <c r="E12" s="13">
        <f t="shared" si="5"/>
        <v>1101158.2927286</v>
      </c>
      <c r="F12" s="15">
        <f t="shared" si="6"/>
        <v>3748000</v>
      </c>
      <c r="G12" s="16">
        <f t="shared" si="3"/>
        <v>14880585.6260607</v>
      </c>
      <c r="H12" s="14">
        <f t="shared" si="4"/>
        <v>66122133.4854849</v>
      </c>
      <c r="I12" s="17">
        <f t="shared" si="0"/>
        <v>5215554.48264478</v>
      </c>
      <c r="J12" s="12"/>
      <c r="K12" s="12"/>
    </row>
    <row r="13" spans="1:11">
      <c r="A13" s="8">
        <v>11</v>
      </c>
      <c r="B13" s="8">
        <f t="shared" si="1"/>
        <v>34492297.8283298</v>
      </c>
      <c r="C13" s="18">
        <f t="shared" si="7"/>
        <v>0.615293624222744</v>
      </c>
      <c r="D13" s="8">
        <f t="shared" si="2"/>
        <v>21222890.9385633</v>
      </c>
      <c r="E13" s="8">
        <f t="shared" si="5"/>
        <v>1123181.45858317</v>
      </c>
      <c r="F13" s="9">
        <v>0</v>
      </c>
      <c r="G13" s="10">
        <f t="shared" si="3"/>
        <v>20099709.4799802</v>
      </c>
      <c r="H13" s="8">
        <f t="shared" si="4"/>
        <v>87805527.7225239</v>
      </c>
      <c r="I13" s="11">
        <f t="shared" si="0"/>
        <v>6404386.86734668</v>
      </c>
      <c r="J13" s="12"/>
      <c r="K13" s="12"/>
    </row>
    <row r="14" spans="1:11">
      <c r="A14" s="13">
        <v>12</v>
      </c>
      <c r="B14" s="14">
        <f t="shared" si="1"/>
        <v>34354328.6370164</v>
      </c>
      <c r="C14" s="13">
        <f t="shared" si="7"/>
        <v>0.664517114160564</v>
      </c>
      <c r="D14" s="13">
        <f t="shared" si="2"/>
        <v>22829039.3247938</v>
      </c>
      <c r="E14" s="13">
        <f t="shared" si="5"/>
        <v>1145645.08775483</v>
      </c>
      <c r="F14" s="15">
        <v>0</v>
      </c>
      <c r="G14" s="16">
        <f t="shared" si="3"/>
        <v>21683394.237039</v>
      </c>
      <c r="H14" s="14">
        <f t="shared" si="4"/>
        <v>111193710.753908</v>
      </c>
      <c r="I14" s="17">
        <f t="shared" si="0"/>
        <v>6280906.94225796</v>
      </c>
      <c r="J14" s="12"/>
      <c r="K14" s="12"/>
    </row>
    <row r="15" spans="1:11">
      <c r="A15" s="8">
        <v>13</v>
      </c>
      <c r="B15" s="8">
        <f t="shared" si="1"/>
        <v>34216911.3224684</v>
      </c>
      <c r="C15" s="18">
        <f t="shared" si="7"/>
        <v>0.717678483293409</v>
      </c>
      <c r="D15" s="8">
        <f t="shared" si="2"/>
        <v>24556741.0208942</v>
      </c>
      <c r="E15" s="8">
        <f t="shared" si="5"/>
        <v>1168557.98950993</v>
      </c>
      <c r="F15" s="9">
        <v>0</v>
      </c>
      <c r="G15" s="10">
        <f t="shared" si="3"/>
        <v>23388183.0313843</v>
      </c>
      <c r="H15" s="8">
        <f t="shared" si="4"/>
        <v>136416976.785963</v>
      </c>
      <c r="I15" s="11">
        <f t="shared" si="0"/>
        <v>6158839.57359459</v>
      </c>
      <c r="J15" s="12"/>
      <c r="K15" s="12"/>
    </row>
    <row r="16" spans="1:11">
      <c r="A16" s="13">
        <v>14</v>
      </c>
      <c r="B16" s="14">
        <f t="shared" si="1"/>
        <v>34080043.6771785</v>
      </c>
      <c r="C16" s="13">
        <f t="shared" si="7"/>
        <v>0.775092761956882</v>
      </c>
      <c r="D16" s="13">
        <f t="shared" si="2"/>
        <v>26415195.1813555</v>
      </c>
      <c r="E16" s="13">
        <f t="shared" si="5"/>
        <v>1191929.14930013</v>
      </c>
      <c r="F16" s="15">
        <v>0</v>
      </c>
      <c r="G16" s="16">
        <f t="shared" si="3"/>
        <v>25223266.0320553</v>
      </c>
      <c r="H16" s="14">
        <f t="shared" si="4"/>
        <v>163615506.206358</v>
      </c>
      <c r="I16" s="17">
        <f t="shared" si="0"/>
        <v>6038249.34719733</v>
      </c>
      <c r="J16" s="12"/>
      <c r="K16" s="12"/>
    </row>
    <row r="17" spans="1:11">
      <c r="A17" s="8">
        <v>15</v>
      </c>
      <c r="B17" s="8">
        <f t="shared" si="1"/>
        <v>33943723.5024698</v>
      </c>
      <c r="C17" s="18">
        <f t="shared" si="7"/>
        <v>0.837100182913433</v>
      </c>
      <c r="D17" s="8">
        <f t="shared" si="2"/>
        <v>28414297.1526804</v>
      </c>
      <c r="E17" s="8">
        <f t="shared" si="5"/>
        <v>1215767.73228613</v>
      </c>
      <c r="F17" s="9">
        <v>0</v>
      </c>
      <c r="G17" s="10">
        <f t="shared" si="3"/>
        <v>27198529.4203943</v>
      </c>
      <c r="H17" s="8">
        <f t="shared" si="4"/>
        <v>192940114.280621</v>
      </c>
      <c r="I17" s="11">
        <f t="shared" si="0"/>
        <v>5919192.45252334</v>
      </c>
      <c r="J17" s="12"/>
      <c r="K17" s="12"/>
    </row>
    <row r="18" spans="1:11">
      <c r="A18" s="13">
        <v>16</v>
      </c>
      <c r="B18" s="14">
        <f t="shared" si="1"/>
        <v>33807948.6084599</v>
      </c>
      <c r="C18" s="13">
        <f t="shared" si="7"/>
        <v>0.904068197546507</v>
      </c>
      <c r="D18" s="13">
        <f t="shared" si="2"/>
        <v>30564691.1611953</v>
      </c>
      <c r="E18" s="13">
        <f t="shared" si="5"/>
        <v>1240083.08693185</v>
      </c>
      <c r="F18" s="15">
        <v>0</v>
      </c>
      <c r="G18" s="16">
        <f t="shared" si="3"/>
        <v>29324608.0742634</v>
      </c>
      <c r="H18" s="14">
        <f t="shared" si="4"/>
        <v>224553056.520225</v>
      </c>
      <c r="I18" s="17">
        <f t="shared" si="0"/>
        <v>5801717.37507888</v>
      </c>
      <c r="J18" s="12"/>
      <c r="K18" s="12"/>
    </row>
    <row r="19" spans="1:11">
      <c r="A19" s="8">
        <v>17</v>
      </c>
      <c r="B19" s="8">
        <f t="shared" si="1"/>
        <v>33672716.8140261</v>
      </c>
      <c r="C19" s="18">
        <f t="shared" si="7"/>
        <v>0.976393653350228</v>
      </c>
      <c r="D19" s="8">
        <f t="shared" si="2"/>
        <v>32877826.9882746</v>
      </c>
      <c r="E19" s="8">
        <f t="shared" si="5"/>
        <v>1264884.74867049</v>
      </c>
      <c r="F19" s="9">
        <v>0</v>
      </c>
      <c r="G19" s="10">
        <f t="shared" si="3"/>
        <v>31612942.2396041</v>
      </c>
      <c r="H19" s="8">
        <f t="shared" si="4"/>
        <v>258628895.011329</v>
      </c>
      <c r="I19" s="11">
        <f t="shared" si="0"/>
        <v>5685865.53668505</v>
      </c>
      <c r="J19" s="12"/>
      <c r="K19" s="12"/>
    </row>
    <row r="20" spans="1:11">
      <c r="A20" s="13">
        <v>18</v>
      </c>
      <c r="B20" s="14">
        <f t="shared" si="1"/>
        <v>33538025.94677</v>
      </c>
      <c r="C20" s="13">
        <f t="shared" si="7"/>
        <v>1.05450514561825</v>
      </c>
      <c r="D20" s="13">
        <f t="shared" si="2"/>
        <v>35366020.9347472</v>
      </c>
      <c r="E20" s="13">
        <f t="shared" si="5"/>
        <v>1290182.4436439</v>
      </c>
      <c r="F20" s="15">
        <v>0</v>
      </c>
      <c r="G20" s="16">
        <f t="shared" si="3"/>
        <v>34075838.4911033</v>
      </c>
      <c r="H20" s="14">
        <f t="shared" si="4"/>
        <v>295355430.317901</v>
      </c>
      <c r="I20" s="17">
        <f t="shared" si="0"/>
        <v>5571671.88741058</v>
      </c>
      <c r="J20" s="12"/>
      <c r="K20" s="12"/>
    </row>
    <row r="21" spans="1:11">
      <c r="A21" s="8">
        <v>19</v>
      </c>
      <c r="B21" s="8">
        <f t="shared" si="1"/>
        <v>33403873.8429829</v>
      </c>
      <c r="C21" s="18">
        <f t="shared" si="7"/>
        <v>1.13886555726771</v>
      </c>
      <c r="D21" s="8">
        <f t="shared" si="2"/>
        <v>38042521.3990889</v>
      </c>
      <c r="E21" s="8">
        <f t="shared" si="5"/>
        <v>1315986.09251678</v>
      </c>
      <c r="F21" s="9">
        <v>0</v>
      </c>
      <c r="G21" s="10">
        <f t="shared" si="3"/>
        <v>36726535.3065721</v>
      </c>
      <c r="H21" s="8">
        <f t="shared" si="4"/>
        <v>334934703.922105</v>
      </c>
      <c r="I21" s="11">
        <f t="shared" si="0"/>
        <v>5459165.45272567</v>
      </c>
      <c r="J21" s="12"/>
      <c r="K21" s="12"/>
    </row>
    <row r="22" spans="1:11">
      <c r="A22" s="13">
        <v>20</v>
      </c>
      <c r="B22" s="14">
        <f t="shared" si="1"/>
        <v>33270258.347611</v>
      </c>
      <c r="C22" s="13">
        <f t="shared" si="7"/>
        <v>1.22997480184912</v>
      </c>
      <c r="D22" s="13">
        <f t="shared" si="2"/>
        <v>40921579.4185719</v>
      </c>
      <c r="E22" s="13">
        <f t="shared" si="5"/>
        <v>1342305.81436711</v>
      </c>
      <c r="F22" s="15">
        <v>0</v>
      </c>
      <c r="G22" s="16">
        <f t="shared" si="3"/>
        <v>39579273.6042048</v>
      </c>
      <c r="H22" s="14">
        <f t="shared" si="4"/>
        <v>377584076.54042</v>
      </c>
      <c r="I22" s="17">
        <f t="shared" si="0"/>
        <v>5348369.83917201</v>
      </c>
      <c r="J22" s="12"/>
      <c r="K22" s="12"/>
    </row>
    <row r="23" spans="1:11">
      <c r="A23" s="8">
        <v>21</v>
      </c>
      <c r="B23" s="8">
        <f t="shared" si="1"/>
        <v>33137177.3142205</v>
      </c>
      <c r="C23" s="18">
        <f t="shared" si="7"/>
        <v>1.32837278599705</v>
      </c>
      <c r="D23" s="8">
        <f t="shared" si="2"/>
        <v>44018524.5489694</v>
      </c>
      <c r="E23" s="8">
        <f t="shared" si="5"/>
        <v>1369151.93065446</v>
      </c>
      <c r="F23" s="9">
        <v>0</v>
      </c>
      <c r="G23" s="10">
        <f t="shared" si="3"/>
        <v>42649372.618315</v>
      </c>
      <c r="H23" s="8">
        <f t="shared" si="4"/>
        <v>423537388.057988</v>
      </c>
      <c r="I23" s="11">
        <f t="shared" si="0"/>
        <v>5239303.70160322</v>
      </c>
      <c r="J23" s="12"/>
      <c r="K23" s="12"/>
    </row>
    <row r="24" spans="1:11">
      <c r="A24" s="13">
        <v>22</v>
      </c>
      <c r="B24" s="14">
        <f t="shared" si="1"/>
        <v>33004628.6049636</v>
      </c>
      <c r="C24" s="13">
        <f t="shared" si="7"/>
        <v>1.43464260887682</v>
      </c>
      <c r="D24" s="13">
        <f t="shared" si="2"/>
        <v>47349846.4868354</v>
      </c>
      <c r="E24" s="13">
        <f t="shared" si="5"/>
        <v>1396534.96926755</v>
      </c>
      <c r="F24" s="15">
        <v>0</v>
      </c>
      <c r="G24" s="16">
        <f t="shared" si="3"/>
        <v>45953311.5175679</v>
      </c>
      <c r="H24" s="14">
        <f t="shared" si="4"/>
        <v>473046205.258295</v>
      </c>
      <c r="I24" s="17">
        <f t="shared" si="0"/>
        <v>5131981.17482716</v>
      </c>
      <c r="J24" s="12"/>
      <c r="K24" s="12"/>
    </row>
    <row r="25" spans="1:11">
      <c r="A25" s="8">
        <v>23</v>
      </c>
      <c r="B25" s="8">
        <f t="shared" si="1"/>
        <v>32872610.0905438</v>
      </c>
      <c r="C25" s="18">
        <f t="shared" si="7"/>
        <v>1.54941401758696</v>
      </c>
      <c r="D25" s="8">
        <f t="shared" si="2"/>
        <v>50933282.8689592</v>
      </c>
      <c r="E25" s="8">
        <f t="shared" si="5"/>
        <v>1424465.6686529</v>
      </c>
      <c r="F25" s="9">
        <v>0</v>
      </c>
      <c r="G25" s="10">
        <f t="shared" si="3"/>
        <v>49508817.2003063</v>
      </c>
      <c r="H25" s="8">
        <f t="shared" si="4"/>
        <v>526381163.992751</v>
      </c>
      <c r="I25" s="11">
        <f t="shared" si="0"/>
        <v>5026412.27227487</v>
      </c>
      <c r="J25" s="12"/>
      <c r="K25" s="12"/>
    </row>
    <row r="26" spans="1:11">
      <c r="A26" s="13">
        <v>24</v>
      </c>
      <c r="B26" s="14">
        <f t="shared" si="1"/>
        <v>32741119.6501816</v>
      </c>
      <c r="C26" s="13">
        <f t="shared" si="7"/>
        <v>1.67336713899392</v>
      </c>
      <c r="D26" s="13">
        <f t="shared" si="2"/>
        <v>54787913.716482</v>
      </c>
      <c r="E26" s="13">
        <f t="shared" si="5"/>
        <v>1452954.98202595</v>
      </c>
      <c r="F26" s="15">
        <v>0</v>
      </c>
      <c r="G26" s="16">
        <f t="shared" si="3"/>
        <v>53334958.734456</v>
      </c>
      <c r="H26" s="14">
        <f t="shared" si="4"/>
        <v>583833412.93763</v>
      </c>
      <c r="I26" s="17">
        <f t="shared" si="0"/>
        <v>4922603.25412914</v>
      </c>
      <c r="J26" s="12"/>
      <c r="K26" s="12"/>
    </row>
    <row r="27" spans="1:11">
      <c r="A27" s="19">
        <v>25</v>
      </c>
      <c r="B27" s="20">
        <f t="shared" si="1"/>
        <v>32610155.1715809</v>
      </c>
      <c r="C27" s="18">
        <f t="shared" si="7"/>
        <v>1.80723651011343</v>
      </c>
      <c r="D27" s="19">
        <f t="shared" si="2"/>
        <v>58934263.0265453</v>
      </c>
      <c r="E27" s="19">
        <f t="shared" si="5"/>
        <v>1482014.08166647</v>
      </c>
      <c r="F27" s="21">
        <v>0</v>
      </c>
      <c r="G27" s="22">
        <f t="shared" si="3"/>
        <v>57452248.9448789</v>
      </c>
      <c r="H27" s="20">
        <f t="shared" si="4"/>
        <v>583833412.93763</v>
      </c>
      <c r="I27" s="23">
        <f t="shared" si="0"/>
        <v>57452248.9448789</v>
      </c>
      <c r="J27" s="12"/>
      <c r="K27" s="12"/>
    </row>
    <row r="31" spans="1:11">
      <c r="D31">
        <v>342383696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 5%</vt:lpstr>
      <vt:lpstr>index 2%</vt:lpstr>
      <vt:lpstr>index 8%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</dc:creator>
  <cp:lastModifiedBy>Mayssa Nemri</cp:lastModifiedBy>
  <dcterms:created xsi:type="dcterms:W3CDTF">2026-05-08T20:22:00Z</dcterms:created>
  <dcterms:modified xsi:type="dcterms:W3CDTF">2026-06-04T22:41:02Z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DBF612211D134024996865DE7A2CA32E_11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1</vt:i4>
  </property>
</Properties>
</file>
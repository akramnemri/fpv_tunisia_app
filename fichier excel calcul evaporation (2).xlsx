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firstSheet="5" activeTab="7"/>
  </bookViews>
  <sheets>
    <sheet name="Feuille1" sheetId="1" r:id="rId1"/>
    <sheet name="Barrage sidi saad " sheetId="2" r:id="rId2"/>
    <sheet name="Sidi salem " sheetId="3" r:id="rId3"/>
    <sheet name="sidi Barrak" sheetId="4" r:id="rId4"/>
    <sheet name="Bouhertma" sheetId="5" r:id="rId5"/>
    <sheet name="Sejnane" sheetId="6" r:id="rId6"/>
    <sheet name="Tcell terre vs floating saad" sheetId="7" r:id="rId7"/>
    <sheet name="Tcell sidi salem " sheetId="8" r:id="rId8"/>
    <sheet name="Tcell sidi barrek" sheetId="9" r:id="rId9"/>
    <sheet name="Tcell bouhertma" sheetId="10" r:id="rId10"/>
    <sheet name="Tcell Sejnan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<sst xmlns="http://schemas.openxmlformats.org/spreadsheetml/2006/main" count="444" uniqueCount="81">
  <si>
    <t>Mois</t>
  </si>
  <si>
    <t>T(°C)</t>
  </si>
  <si>
    <t>HR (%)</t>
  </si>
  <si>
    <t>Vent (m/s)</t>
  </si>
  <si>
    <t>RS(kWh/m²/j)</t>
  </si>
  <si>
    <t>RS(MWh/m²/j)</t>
  </si>
  <si>
    <t>es (kPa)</t>
  </si>
  <si>
    <t>ea (kPa)</t>
  </si>
  <si>
    <t>Δ (kPa/°C)</t>
  </si>
  <si>
    <t>E (mm/j)</t>
  </si>
  <si>
    <t>Jours</t>
  </si>
  <si>
    <t>Volume sans FPV (m³)</t>
  </si>
  <si>
    <t>Économie (m³)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</si>
  <si>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</si>
  <si>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</si>
  <si>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</si>
  <si>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</si>
  <si>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</si>
  <si>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</si>
  <si>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</si>
  <si>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</si>
  <si>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</si>
  <si>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</si>
  <si>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</si>
  <si>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</si>
  <si>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</si>
  <si>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 xml:space="preserve">       Volumes (m³)</t>
  </si>
  <si>
    <t>Sans FPV</t>
  </si>
  <si>
    <t>Avec FPV</t>
  </si>
  <si>
    <t>6 634,87</t>
  </si>
  <si>
    <t>4 644,41</t>
  </si>
  <si>
    <t>7 593,24</t>
  </si>
  <si>
    <t>5 315,26</t>
  </si>
  <si>
    <t>11 821,33</t>
  </si>
  <si>
    <t>8 274,93</t>
  </si>
  <si>
    <t>15 036,55</t>
  </si>
  <si>
    <t>10 525,59</t>
  </si>
  <si>
    <t>19 854,58</t>
  </si>
  <si>
    <t>13 898,20</t>
  </si>
  <si>
    <t>Sans FPV (m³)</t>
  </si>
  <si>
    <t>Avec FPV (m³)</t>
  </si>
  <si>
    <t>22 747,18</t>
  </si>
  <si>
    <t>15 923,03</t>
  </si>
  <si>
    <t>25 179,15</t>
  </si>
  <si>
    <t>17 625,40</t>
  </si>
  <si>
    <t>22 277,25</t>
  </si>
  <si>
    <t>15 594,07</t>
  </si>
  <si>
    <t>15 750,37</t>
  </si>
  <si>
    <t>11 025,26</t>
  </si>
  <si>
    <t>12 177,46</t>
  </si>
  <si>
    <t>8 524,22</t>
  </si>
  <si>
    <t>8 208,43</t>
  </si>
  <si>
    <t>5 745,90</t>
  </si>
  <si>
    <t>6 548,24</t>
  </si>
  <si>
    <t>4 583,77</t>
  </si>
  <si>
    <t xml:space="preserve">      Total économies</t>
  </si>
  <si>
    <t>121 680m³</t>
  </si>
  <si>
    <t>Volume avec FPV (m³)</t>
  </si>
  <si>
    <t>92489*(J2/1000)*K2</t>
  </si>
  <si>
    <t xml:space="preserve">        Total économies =</t>
  </si>
  <si>
    <t>117 253 m³</t>
  </si>
  <si>
    <t>Ginc (kWh/m²/moins)</t>
  </si>
  <si>
    <t>Nb h enso/moins</t>
  </si>
  <si>
    <t>Ginc (W/m²)</t>
  </si>
  <si>
    <t>α.Ginc.(1−η)</t>
  </si>
  <si>
    <t>Tcell terre (°C)</t>
  </si>
  <si>
    <t>Tcell float (°C)</t>
  </si>
  <si>
    <t>EGrid terre (kWh)</t>
  </si>
  <si>
    <t>EGrid Float (kWh)</t>
  </si>
  <si>
    <t>Gain (kWh)</t>
  </si>
  <si>
    <t>Gain (%)</t>
  </si>
  <si>
    <t>Moyenne :</t>
  </si>
  <si>
    <t>35,78°C</t>
  </si>
  <si>
    <t>26,27°C     TOTAL :</t>
  </si>
  <si>
    <t>34336692 kWh</t>
  </si>
  <si>
    <t>35902835 kWh</t>
  </si>
  <si>
    <t>1566143 kWh</t>
  </si>
  <si>
    <t>Ginc (kWh/m²/moins</t>
  </si>
  <si>
    <t>Tcell terre</t>
  </si>
  <si>
    <t xml:space="preserve">Tcell float 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</si>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</sst>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* #,##0_-;\-* #,##0_-;_-* &quot;-&quot;??_-;_-@_-"/>
    <numFmt numFmtId="179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.5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5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3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43" fontId="1" fillId="0" borderId="0" xfId="1" applyFont="1" applyAlignment="1">
      <alignment horizontal="left" vertical="center"/>
    </xf>
    <xf numFmtId="0" fontId="1" fillId="0" borderId="0" xfId="0" applyFont="1">
      <alignment vertical="center"/>
    </xf>
    <xf numFmtId="43" fontId="0" fillId="0" borderId="0" xfId="1" applyAlignment="1">
      <alignment vertical="center"/>
    </xf>
    <xf numFmtId="43" fontId="0" fillId="0" borderId="0" xfId="1" applyAlignment="1">
      <alignment horizontal="center" vertical="center"/>
    </xf>
    <xf numFmtId="178" fontId="0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179" fontId="1" fillId="4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178" fontId="0" fillId="0" borderId="0" xfId="1" applyNumberFormat="1">
      <alignment vertical="center"/>
    </xf>
    <xf numFmtId="43" fontId="3" fillId="0" borderId="0" xfId="1" applyFont="1" applyAlignment="1">
      <alignment horizontal="left" vertical="center"/>
    </xf>
    <xf numFmtId="43" fontId="0" fillId="0" borderId="0" xfId="1" applyAlignment="1">
      <alignment horizontal="left" vertical="center"/>
    </xf>
    <xf numFmtId="43" fontId="1" fillId="5" borderId="0" xfId="1" applyFont="1" applyFill="1" applyAlignment="1">
      <alignment horizontal="left" vertical="center"/>
    </xf>
    <xf numFmtId="43" fontId="0" fillId="5" borderId="0" xfId="1" applyFill="1" applyAlignment="1">
      <alignment horizontal="left" vertical="center"/>
    </xf>
    <xf numFmtId="0" fontId="2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5" fillId="6" borderId="4" xfId="0" applyFont="1" applyFill="1" applyBorder="1">
      <alignment vertical="center"/>
    </xf>
    <xf numFmtId="43" fontId="5" fillId="6" borderId="4" xfId="1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6" fillId="7" borderId="6" xfId="0" applyFont="1" applyFill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7" borderId="8" xfId="0" applyFont="1" applyFill="1" applyBorder="1">
      <alignment vertical="center"/>
    </xf>
    <xf numFmtId="0" fontId="7" fillId="0" borderId="9" xfId="0" applyFont="1" applyFill="1" applyBorder="1" applyAlignment="1">
      <alignment horizontal="center" vertical="center"/>
    </xf>
    <xf numFmtId="0" fontId="0" fillId="8" borderId="0" xfId="0" applyFill="1" applyBorder="1">
      <alignment vertical="center"/>
    </xf>
    <xf numFmtId="0" fontId="1" fillId="9" borderId="0" xfId="0" applyFont="1" applyFill="1" applyBorder="1">
      <alignment vertical="center"/>
    </xf>
    <xf numFmtId="0" fontId="0" fillId="9" borderId="0" xfId="0" applyFill="1" applyBorder="1">
      <alignment vertical="center"/>
    </xf>
    <xf numFmtId="43" fontId="1" fillId="0" borderId="0" xfId="1" applyFont="1">
      <alignment vertical="center"/>
    </xf>
    <xf numFmtId="43" fontId="3" fillId="0" borderId="0" xfId="1" applyFont="1">
      <alignment vertical="center"/>
    </xf>
    <xf numFmtId="43" fontId="0" fillId="0" borderId="0" xfId="1">
      <alignment vertical="center"/>
    </xf>
    <xf numFmtId="43" fontId="0" fillId="5" borderId="0" xfId="1" applyFill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143080329715339"/>
          <c:y val="0.02106571773991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071873231466"/>
          <c:y val="0.172991522002422"/>
          <c:w val="0.837532541029994"/>
          <c:h val="0.5058942268873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Feuille1!$B$21</c:f>
              <c:strCache>
                <c:ptCount val="1"/>
                <c:pt idx="0">
                  <c:v>Sans FPV (m³)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Feuille1!$A$22:$A$33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Feuille1!$B$22:$B$33</c:f>
              <c:numCache>
                <c:formatCode>General</c:formatCode>
                <c:ptCount val="12"/>
                <c:pt idx="0">
                  <c:v>6635</c:v>
                </c:pt>
                <c:pt idx="1">
                  <c:v>7593</c:v>
                </c:pt>
                <c:pt idx="2">
                  <c:v>11821</c:v>
                </c:pt>
                <c:pt idx="3">
                  <c:v>15037</c:v>
                </c:pt>
                <c:pt idx="4">
                  <c:v>19855</c:v>
                </c:pt>
                <c:pt idx="5">
                  <c:v>22747</c:v>
                </c:pt>
                <c:pt idx="6">
                  <c:v>25179</c:v>
                </c:pt>
                <c:pt idx="7">
                  <c:v>22277</c:v>
                </c:pt>
                <c:pt idx="8">
                  <c:v>15750</c:v>
                </c:pt>
                <c:pt idx="9">
                  <c:v>12177</c:v>
                </c:pt>
                <c:pt idx="10">
                  <c:v>8208</c:v>
                </c:pt>
                <c:pt idx="11">
                  <c:v>6548</c:v>
                </c:pt>
              </c:numCache>
            </c:numRef>
          </c:val>
        </c:ser>
        <c:ser>
          <c:idx val="1"/>
          <c:order val="1"/>
          <c:tx>
            <c:strRef>
              <c:f>Feuille1!$C$21</c:f>
              <c:strCache>
                <c:ptCount val="1"/>
                <c:pt idx="0">
                  <c:v>Avec FPV (m³)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Feuille1!$A$22:$A$33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Feuille1!$C$22:$C$33</c:f>
              <c:numCache>
                <c:formatCode>General</c:formatCode>
                <c:ptCount val="12"/>
                <c:pt idx="0">
                  <c:v>4644</c:v>
                </c:pt>
                <c:pt idx="1">
                  <c:v>5315</c:v>
                </c:pt>
                <c:pt idx="2">
                  <c:v>8275</c:v>
                </c:pt>
                <c:pt idx="3">
                  <c:v>10526</c:v>
                </c:pt>
                <c:pt idx="4">
                  <c:v>13898</c:v>
                </c:pt>
                <c:pt idx="5">
                  <c:v>15923</c:v>
                </c:pt>
                <c:pt idx="6">
                  <c:v>17625</c:v>
                </c:pt>
                <c:pt idx="7">
                  <c:v>15594</c:v>
                </c:pt>
                <c:pt idx="8">
                  <c:v>11025</c:v>
                </c:pt>
                <c:pt idx="9">
                  <c:v>8524</c:v>
                </c:pt>
                <c:pt idx="10">
                  <c:v>5746</c:v>
                </c:pt>
                <c:pt idx="11">
                  <c:v>4584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428960421"/>
        <c:axId val="959016683"/>
      </c:barChart>
      <c:catAx>
        <c:axId val="4289604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Mois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016683"/>
        <c:crosses val="autoZero"/>
        <c:auto val="1"/>
        <c:lblAlgn val="ctr"/>
        <c:lblOffset val="100"/>
        <c:noMultiLvlLbl val="0"/>
      </c:catAx>
      <c:valAx>
        <c:axId val="9590166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Volume </a:t>
                </a:r>
                <a:r>
                  <a:t>(</a:t>
                </a:r>
                <a:r>
                  <a:rPr b="1"/>
                  <a:t>m³</a:t>
                </a:r>
                <a:r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96042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b83dd0-fad0-4b87-bebb-e85122df4d8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'Barrage sidi saad 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'Barrage sidi saad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'Barrage sidi saad '!$L$2:$L$13</c:f>
              <c:numCache>
                <c:formatCode>_-* #,##0.00_-;\-* #,##0.00_-;_-* "-"??_-;_-@_-</c:formatCode>
                <c:ptCount val="12"/>
                <c:pt idx="0">
                  <c:v>6672.14279816902</c:v>
                </c:pt>
                <c:pt idx="1">
                  <c:v>7736.13873693048</c:v>
                </c:pt>
                <c:pt idx="2">
                  <c:v>11486.0745612994</c:v>
                </c:pt>
                <c:pt idx="3">
                  <c:v>14334.4872897786</c:v>
                </c:pt>
                <c:pt idx="4">
                  <c:v>18902.5043778534</c:v>
                </c:pt>
                <c:pt idx="5">
                  <c:v>22367.0251496475</c:v>
                </c:pt>
                <c:pt idx="6">
                  <c:v>24493.5856636516</c:v>
                </c:pt>
                <c:pt idx="7">
                  <c:v>21231.0394773856</c:v>
                </c:pt>
                <c:pt idx="8">
                  <c:v>14996.0146196521</c:v>
                </c:pt>
                <c:pt idx="9">
                  <c:v>11263.8999481856</c:v>
                </c:pt>
                <c:pt idx="10">
                  <c:v>7683.46666300849</c:v>
                </c:pt>
                <c:pt idx="11">
                  <c:v>6337.95371395466</c:v>
                </c:pt>
              </c:numCache>
            </c:numRef>
          </c:val>
        </c:ser>
        <c:ser>
          <c:idx val="1"/>
          <c:order val="1"/>
          <c:tx>
            <c:strRef>
              <c:f>'Barrage sidi saad 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'Barrage sidi saad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'Barrage sidi saad '!$M$2:$M$13</c:f>
              <c:numCache>
                <c:formatCode>_-* #,##0.00_-;\-* #,##0.00_-;_-* "-"??_-;_-@_-</c:formatCode>
                <c:ptCount val="12"/>
                <c:pt idx="0">
                  <c:v>4670.49995871832</c:v>
                </c:pt>
                <c:pt idx="1">
                  <c:v>5415.29711585133</c:v>
                </c:pt>
                <c:pt idx="2">
                  <c:v>8040.2521929096</c:v>
                </c:pt>
                <c:pt idx="3">
                  <c:v>10034.141102845</c:v>
                </c:pt>
                <c:pt idx="4">
                  <c:v>13231.7530644974</c:v>
                </c:pt>
                <c:pt idx="5">
                  <c:v>15656.9176047532</c:v>
                </c:pt>
                <c:pt idx="6">
                  <c:v>17145.5099645561</c:v>
                </c:pt>
                <c:pt idx="7">
                  <c:v>14861.7276341699</c:v>
                </c:pt>
                <c:pt idx="8">
                  <c:v>10497.2102337565</c:v>
                </c:pt>
                <c:pt idx="9">
                  <c:v>7884.7299637299</c:v>
                </c:pt>
                <c:pt idx="10">
                  <c:v>5378.42666410594</c:v>
                </c:pt>
                <c:pt idx="11">
                  <c:v>4436.56759976826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8874cf-6d47-423f-9372-ff78f2e50c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'Sidi salem 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'Sidi salem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salem '!$L$2:$L$13</c:f>
              <c:numCache>
                <c:formatCode>_-* #,##0.00_-;\-* #,##0.00_-;_-* "-"??_-;_-@_-</c:formatCode>
                <c:ptCount val="12"/>
                <c:pt idx="0">
                  <c:v>5235.59308351159</c:v>
                </c:pt>
                <c:pt idx="1">
                  <c:v>5906.59503554986</c:v>
                </c:pt>
                <c:pt idx="2">
                  <c:v>9132.57193267446</c:v>
                </c:pt>
                <c:pt idx="3">
                  <c:v>11790.9019807814</c:v>
                </c:pt>
                <c:pt idx="4">
                  <c:v>15741.8865578775</c:v>
                </c:pt>
                <c:pt idx="5">
                  <c:v>19990.1559968091</c:v>
                </c:pt>
                <c:pt idx="6">
                  <c:v>22500.3160355133</c:v>
                </c:pt>
                <c:pt idx="7">
                  <c:v>19910.5195341849</c:v>
                </c:pt>
                <c:pt idx="8">
                  <c:v>13718.0901276217</c:v>
                </c:pt>
                <c:pt idx="9">
                  <c:v>10155.959002054</c:v>
                </c:pt>
                <c:pt idx="10">
                  <c:v>6502.18674947101</c:v>
                </c:pt>
                <c:pt idx="11">
                  <c:v>4985.12005012402</c:v>
                </c:pt>
              </c:numCache>
            </c:numRef>
          </c:val>
        </c:ser>
        <c:ser>
          <c:idx val="1"/>
          <c:order val="1"/>
          <c:tx>
            <c:strRef>
              <c:f>'Sidi salem 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'Sidi salem 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salem '!$M$2:$M$13</c:f>
              <c:numCache>
                <c:formatCode>_-* #,##0.00_-;\-* #,##0.00_-;_-* "-"??_-;_-@_-</c:formatCode>
                <c:ptCount val="12"/>
                <c:pt idx="0">
                  <c:v>3664.91515845811</c:v>
                </c:pt>
                <c:pt idx="1">
                  <c:v>4134.6165248849</c:v>
                </c:pt>
                <c:pt idx="2">
                  <c:v>6392.80035287212</c:v>
                </c:pt>
                <c:pt idx="3">
                  <c:v>8253.63138654696</c:v>
                </c:pt>
                <c:pt idx="4">
                  <c:v>11019.3205905143</c:v>
                </c:pt>
                <c:pt idx="5">
                  <c:v>13993.1091977664</c:v>
                </c:pt>
                <c:pt idx="6">
                  <c:v>15750.2212248593</c:v>
                </c:pt>
                <c:pt idx="7">
                  <c:v>13937.3636739294</c:v>
                </c:pt>
                <c:pt idx="8">
                  <c:v>9602.6630893352</c:v>
                </c:pt>
                <c:pt idx="9">
                  <c:v>7109.17130143782</c:v>
                </c:pt>
                <c:pt idx="10">
                  <c:v>4551.5307246297</c:v>
                </c:pt>
                <c:pt idx="11">
                  <c:v>3489.58403508682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'sidi Barrak'!$L$1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'sidi Barrak'!$A$2:$A$13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Barrak'!$L$2:$L$13</c:f>
              <c:numCache>
                <c:formatCode>_-* #,##0.00_-;\-* #,##0.00_-;_-* "-"??_-;_-@_-</c:formatCode>
                <c:ptCount val="12"/>
                <c:pt idx="0">
                  <c:v>5386.10501043614</c:v>
                </c:pt>
                <c:pt idx="1">
                  <c:v>5957.74694208749</c:v>
                </c:pt>
                <c:pt idx="2">
                  <c:v>9215.66552487276</c:v>
                </c:pt>
                <c:pt idx="3">
                  <c:v>11656.7709015346</c:v>
                </c:pt>
                <c:pt idx="4">
                  <c:v>15674.1064853853</c:v>
                </c:pt>
                <c:pt idx="5">
                  <c:v>19427.2552487679</c:v>
                </c:pt>
                <c:pt idx="6">
                  <c:v>21934.799643507</c:v>
                </c:pt>
                <c:pt idx="7">
                  <c:v>19485.8366251296</c:v>
                </c:pt>
                <c:pt idx="8">
                  <c:v>13516.779016653</c:v>
                </c:pt>
                <c:pt idx="9">
                  <c:v>10387.7450128994</c:v>
                </c:pt>
                <c:pt idx="10">
                  <c:v>6820.15927062641</c:v>
                </c:pt>
                <c:pt idx="11">
                  <c:v>5293.98538021394</c:v>
                </c:pt>
              </c:numCache>
            </c:numRef>
          </c:val>
        </c:ser>
        <c:ser>
          <c:idx val="1"/>
          <c:order val="1"/>
          <c:tx>
            <c:strRef>
              <c:f>'sidi Barrak'!$M$1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'sidi Barrak'!$A$2:$A$13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'sidi Barrak'!$M$2:$M$13</c:f>
              <c:numCache>
                <c:formatCode>_-* #,##0.00_-;\-* #,##0.00_-;_-* "-"??_-;_-@_-</c:formatCode>
                <c:ptCount val="12"/>
                <c:pt idx="0">
                  <c:v>3770.2735073053</c:v>
                </c:pt>
                <c:pt idx="1">
                  <c:v>4170.42285946124</c:v>
                </c:pt>
                <c:pt idx="2">
                  <c:v>6450.96586741093</c:v>
                </c:pt>
                <c:pt idx="3">
                  <c:v>8159.73963107422</c:v>
                </c:pt>
                <c:pt idx="4">
                  <c:v>10971.8745397697</c:v>
                </c:pt>
                <c:pt idx="5">
                  <c:v>13599.0786741376</c:v>
                </c:pt>
                <c:pt idx="6">
                  <c:v>15354.3597504549</c:v>
                </c:pt>
                <c:pt idx="7">
                  <c:v>13640.0856375907</c:v>
                </c:pt>
                <c:pt idx="8">
                  <c:v>9461.74531165711</c:v>
                </c:pt>
                <c:pt idx="9">
                  <c:v>7271.42150902956</c:v>
                </c:pt>
                <c:pt idx="10">
                  <c:v>4774.11148943849</c:v>
                </c:pt>
                <c:pt idx="11">
                  <c:v>3705.78976614975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Bouhertma!$L$1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Bouhertma!$A$2:$A$13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Bouhertma!$L$2:$L$13</c:f>
              <c:numCache>
                <c:formatCode>_-* #,##0.00_-;\-* #,##0.00_-;_-* "-"??_-;_-@_-</c:formatCode>
                <c:ptCount val="12"/>
                <c:pt idx="0">
                  <c:v>3062.02781044308</c:v>
                </c:pt>
                <c:pt idx="1">
                  <c:v>3211.37116517358</c:v>
                </c:pt>
                <c:pt idx="2">
                  <c:v>4567.34878919842</c:v>
                </c:pt>
                <c:pt idx="3">
                  <c:v>5702.42519183483</c:v>
                </c:pt>
                <c:pt idx="4">
                  <c:v>8359.22559907109</c:v>
                </c:pt>
                <c:pt idx="5">
                  <c:v>11523.9929608751</c:v>
                </c:pt>
                <c:pt idx="6">
                  <c:v>13707.5526224729</c:v>
                </c:pt>
                <c:pt idx="7">
                  <c:v>12046.9394272512</c:v>
                </c:pt>
                <c:pt idx="8">
                  <c:v>7875.24272717373</c:v>
                </c:pt>
                <c:pt idx="9">
                  <c:v>6012.59319225803</c:v>
                </c:pt>
                <c:pt idx="10">
                  <c:v>3977.71869534515</c:v>
                </c:pt>
                <c:pt idx="11">
                  <c:v>3040.44298025087</c:v>
                </c:pt>
              </c:numCache>
            </c:numRef>
          </c:val>
        </c:ser>
        <c:ser>
          <c:idx val="1"/>
          <c:order val="1"/>
          <c:tx>
            <c:strRef>
              <c:f>Bouhertma!$M$1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Bouhertma!$A$2:$A$13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Bouhertma!$M$2:$M$13</c:f>
              <c:numCache>
                <c:formatCode>_-* #,##0.00_-;\-* #,##0.00_-;_-* "-"??_-;_-@_-</c:formatCode>
                <c:ptCount val="12"/>
                <c:pt idx="0">
                  <c:v>2143.41946731016</c:v>
                </c:pt>
                <c:pt idx="1">
                  <c:v>2247.95981562151</c:v>
                </c:pt>
                <c:pt idx="2">
                  <c:v>3197.14415243889</c:v>
                </c:pt>
                <c:pt idx="3">
                  <c:v>3991.69763428438</c:v>
                </c:pt>
                <c:pt idx="4">
                  <c:v>5851.45791934976</c:v>
                </c:pt>
                <c:pt idx="5">
                  <c:v>8066.79507261257</c:v>
                </c:pt>
                <c:pt idx="6">
                  <c:v>9595.28683573105</c:v>
                </c:pt>
                <c:pt idx="7">
                  <c:v>8432.85759907584</c:v>
                </c:pt>
                <c:pt idx="8">
                  <c:v>5512.66990902161</c:v>
                </c:pt>
                <c:pt idx="9">
                  <c:v>4208.81523458062</c:v>
                </c:pt>
                <c:pt idx="10">
                  <c:v>2784.4030867416</c:v>
                </c:pt>
                <c:pt idx="11">
                  <c:v>2128.31008617561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"Évolution mensuelle de l'évaporation avec et sans FPV"</a:t>
            </a:r>
          </a:p>
        </c:rich>
      </c:tx>
      <c:layout>
        <c:manualLayout>
          <c:xMode val="edge"/>
          <c:yMode val="edge"/>
          <c:x val="0.206219899579875"/>
          <c:y val="0.01010101010101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Sejnane!$L$1</c:f>
              <c:strCache>
                <c:ptCount val="1"/>
                <c:pt idx="0">
                  <c:v>Volume sans FPV (m³)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8575" cmpd="thickThin">
              <a:noFill/>
              <a:prstDash val="solid"/>
            </a:ln>
            <a:effectLst/>
            <a:sp3d contourW="28575"/>
          </c:spPr>
          <c:invertIfNegative val="0"/>
          <c:dLbls>
            <c:delete val="1"/>
          </c:dLbls>
          <c:cat>
            <c:strRef>
              <c:f>Sejnane!$A$2:$A$13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Sejnane!$L$2:$L$13</c:f>
              <c:numCache>
                <c:formatCode>_-* #,##0.00_-;\-* #,##0.00_-;_-* "-"??_-;_-@_-</c:formatCode>
                <c:ptCount val="12"/>
                <c:pt idx="0">
                  <c:v>4479.94767489299</c:v>
                </c:pt>
                <c:pt idx="1">
                  <c:v>5335.38232356754</c:v>
                </c:pt>
                <c:pt idx="2">
                  <c:v>8731.15356981761</c:v>
                </c:pt>
                <c:pt idx="3">
                  <c:v>11476.1505533847</c:v>
                </c:pt>
                <c:pt idx="4">
                  <c:v>15907.7450141477</c:v>
                </c:pt>
                <c:pt idx="5">
                  <c:v>19870.1998261103</c:v>
                </c:pt>
                <c:pt idx="6">
                  <c:v>22237.007914988</c:v>
                </c:pt>
                <c:pt idx="7">
                  <c:v>19420.0656484947</c:v>
                </c:pt>
                <c:pt idx="8">
                  <c:v>13253.861335369</c:v>
                </c:pt>
                <c:pt idx="9">
                  <c:v>9610.18596845676</c:v>
                </c:pt>
                <c:pt idx="10">
                  <c:v>5912.76344979973</c:v>
                </c:pt>
                <c:pt idx="11">
                  <c:v>4319.51728709038</c:v>
                </c:pt>
              </c:numCache>
            </c:numRef>
          </c:val>
        </c:ser>
        <c:ser>
          <c:idx val="1"/>
          <c:order val="1"/>
          <c:tx>
            <c:strRef>
              <c:f>Sejnane!$M$1</c:f>
              <c:strCache>
                <c:ptCount val="1"/>
                <c:pt idx="0">
                  <c:v>Volume avec FPV (m³)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Sejnane!$A$2:$A$13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Sejnane!$M$2:$M$13</c:f>
              <c:numCache>
                <c:formatCode>_-* #,##0.00_-;\-* #,##0.00_-;_-* "-"??_-;_-@_-</c:formatCode>
                <c:ptCount val="12"/>
                <c:pt idx="0">
                  <c:v>3135.96337242509</c:v>
                </c:pt>
                <c:pt idx="1">
                  <c:v>3734.76762649728</c:v>
                </c:pt>
                <c:pt idx="2">
                  <c:v>6111.80749887233</c:v>
                </c:pt>
                <c:pt idx="3">
                  <c:v>8033.30538736926</c:v>
                </c:pt>
                <c:pt idx="4">
                  <c:v>11135.4215099034</c:v>
                </c:pt>
                <c:pt idx="5">
                  <c:v>13909.1398782772</c:v>
                </c:pt>
                <c:pt idx="6">
                  <c:v>15565.9055404916</c:v>
                </c:pt>
                <c:pt idx="7">
                  <c:v>13594.0459539463</c:v>
                </c:pt>
                <c:pt idx="8">
                  <c:v>9277.70293475833</c:v>
                </c:pt>
                <c:pt idx="9">
                  <c:v>6727.13017791973</c:v>
                </c:pt>
                <c:pt idx="10">
                  <c:v>4138.93441485981</c:v>
                </c:pt>
                <c:pt idx="11">
                  <c:v>3023.66210096326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0213125"/>
        <c:axId val="969202037"/>
      </c:barChart>
      <c:catAx>
        <c:axId val="140213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202037"/>
        <c:crosses val="autoZero"/>
        <c:auto val="1"/>
        <c:lblAlgn val="ctr"/>
        <c:lblOffset val="100"/>
        <c:noMultiLvlLbl val="0"/>
      </c:catAx>
      <c:valAx>
        <c:axId val="969202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Volume (m³)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131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0c1690-6035-4cb7-8d6a-65db1659fe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Comparaison des températures et production</a:t>
            </a:r>
          </a:p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Terrestre Vs Flottant</a:t>
            </a:r>
          </a:p>
        </c:rich>
      </c:tx>
      <c:layout>
        <c:manualLayout>
          <c:xMode val="edge"/>
          <c:yMode val="edge"/>
          <c:x val="0.16717018938999"/>
          <c:y val="0.03586932534456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235357177663"/>
          <c:y val="0.170148247978437"/>
          <c:w val="0.802046584153591"/>
          <c:h val="0.564083557951482"/>
        </c:manualLayout>
      </c:layout>
      <c:lineChart>
        <c:grouping val="standard"/>
        <c:varyColors val="0"/>
        <c:ser>
          <c:idx val="1"/>
          <c:order val="1"/>
          <c:tx>
            <c:strRef>
              <c:f>"Tcell terrestre (°C)"</c:f>
              <c:strCache>
                <c:ptCount val="1"/>
                <c:pt idx="0">
                  <c:v>Tcell terrestre (°C)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'Tcell terre vs floating saad'!$A$2:$A$13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'Tcell terre vs floating saad'!$I$2:$I$13</c:f>
              <c:numCache>
                <c:formatCode>0.00_ </c:formatCode>
                <c:ptCount val="12"/>
                <c:pt idx="0">
                  <c:v>23.8251580645161</c:v>
                </c:pt>
                <c:pt idx="1">
                  <c:v>25.9559772727273</c:v>
                </c:pt>
                <c:pt idx="2">
                  <c:v>30.7490161290323</c:v>
                </c:pt>
                <c:pt idx="3">
                  <c:v>35.3604</c:v>
                </c:pt>
                <c:pt idx="4">
                  <c:v>39.7274331797235</c:v>
                </c:pt>
                <c:pt idx="5">
                  <c:v>44.57486</c:v>
                </c:pt>
                <c:pt idx="6">
                  <c:v>49.2031428571429</c:v>
                </c:pt>
                <c:pt idx="7">
                  <c:v>47.1517580645161</c:v>
                </c:pt>
                <c:pt idx="8">
                  <c:v>42.943875</c:v>
                </c:pt>
                <c:pt idx="9">
                  <c:v>37.1755454545455</c:v>
                </c:pt>
                <c:pt idx="10">
                  <c:v>28.96165</c:v>
                </c:pt>
                <c:pt idx="11">
                  <c:v>23.6764806451613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"Tcell flottante (°C)"</c:f>
              <c:strCache>
                <c:ptCount val="1"/>
                <c:pt idx="0">
                  <c:v>Tcell flottante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'Tcell terre vs floating saad'!$A$2:$A$13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'Tcell terre vs floating saad'!$J$2:$J$13</c:f>
              <c:numCache>
                <c:formatCode>0.00_ </c:formatCode>
                <c:ptCount val="12"/>
                <c:pt idx="0">
                  <c:v>16.0056122068297</c:v>
                </c:pt>
                <c:pt idx="1">
                  <c:v>17.1743269828122</c:v>
                </c:pt>
                <c:pt idx="2">
                  <c:v>20.9674462989297</c:v>
                </c:pt>
                <c:pt idx="3">
                  <c:v>24.8186959937156</c:v>
                </c:pt>
                <c:pt idx="4">
                  <c:v>29.0018923961329</c:v>
                </c:pt>
                <c:pt idx="5">
                  <c:v>33.8256363636364</c:v>
                </c:pt>
                <c:pt idx="6">
                  <c:v>37.7966731898239</c:v>
                </c:pt>
                <c:pt idx="7">
                  <c:v>36.8487752142032</c:v>
                </c:pt>
                <c:pt idx="8">
                  <c:v>32.7321293176074</c:v>
                </c:pt>
                <c:pt idx="9">
                  <c:v>28.1818181818182</c:v>
                </c:pt>
                <c:pt idx="10">
                  <c:v>21.2391471301536</c:v>
                </c:pt>
                <c:pt idx="11">
                  <c:v>16.6586171892624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1942630"/>
        <c:axId val="16372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"moins"</c15:sqref>
                        </c15:formulaRef>
                      </c:ext>
                    </c:extLst>
                    <c:strCache>
                      <c:ptCount val="1"/>
                      <c:pt idx="0">
                        <c:v>moins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'Tcell terre vs floating saad'!$A$2:$A$13</c15:sqref>
                        </c15:formulaRef>
                      </c:ext>
                    </c:extLst>
                    <c:strCache>
                      <c:ptCount val="12"/>
                      <c:pt idx="0" c:formatCode="_-* #,##0.00_-;\-* #,##0.00_-;_-* &quot;-&quot;??_-;_-@_-">
                        <c:v>Janvier</c:v>
                      </c:pt>
                      <c:pt idx="1" c:formatCode="_-* #,##0.00_-;\-* #,##0.00_-;_-* &quot;-&quot;??_-;_-@_-">
                        <c:v>Février</c:v>
                      </c:pt>
                      <c:pt idx="2" c:formatCode="_-* #,##0.00_-;\-* #,##0.00_-;_-* &quot;-&quot;??_-;_-@_-">
                        <c:v>Mars</c:v>
                      </c:pt>
                      <c:pt idx="3" c:formatCode="_-* #,##0.00_-;\-* #,##0.00_-;_-* &quot;-&quot;??_-;_-@_-">
                        <c:v>Avril</c:v>
                      </c:pt>
                      <c:pt idx="4" c:formatCode="_-* #,##0.00_-;\-* #,##0.00_-;_-* &quot;-&quot;??_-;_-@_-">
                        <c:v>Mai</c:v>
                      </c:pt>
                      <c:pt idx="5" c:formatCode="_-* #,##0.00_-;\-* #,##0.00_-;_-* &quot;-&quot;??_-;_-@_-">
                        <c:v>Juin</c:v>
                      </c:pt>
                      <c:pt idx="6" c:formatCode="_-* #,##0.00_-;\-* #,##0.00_-;_-* &quot;-&quot;??_-;_-@_-">
                        <c:v>Juillet</c:v>
                      </c:pt>
                      <c:pt idx="7" c:formatCode="_-* #,##0.00_-;\-* #,##0.00_-;_-* &quot;-&quot;??_-;_-@_-">
                        <c:v>Août</c:v>
                      </c:pt>
                      <c:pt idx="8" c:formatCode="_-* #,##0.00_-;\-* #,##0.00_-;_-* &quot;-&quot;??_-;_-@_-">
                        <c:v>Septembre</c:v>
                      </c:pt>
                      <c:pt idx="9" c:formatCode="_-* #,##0.00_-;\-* #,##0.00_-;_-* &quot;-&quot;??_-;_-@_-">
                        <c:v>Octobre</c:v>
                      </c:pt>
                      <c:pt idx="10" c:formatCode="_-* #,##0.00_-;\-* #,##0.00_-;_-* &quot;-&quot;??_-;_-@_-">
                        <c:v>Novembre</c:v>
                      </c:pt>
                      <c:pt idx="11" c:formatCode="_-* #,##0.00_-;\-* #,##0.00_-;_-* &quot;-&quot;??_-;_-@_-">
                        <c:v>Décembre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'Tcell terre vs floating saad'!$A$2:$A$13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"E Grid terrestre (kWh)"</c:f>
              <c:strCache>
                <c:ptCount val="1"/>
                <c:pt idx="0">
                  <c:v>E Grid terrestre (kWh)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'Tcell terre vs floating saad'!$A$2:$A$13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'Tcell terre vs floating saad'!$K$2:$K$13</c:f>
              <c:numCache>
                <c:formatCode>General</c:formatCode>
                <c:ptCount val="12"/>
                <c:pt idx="0">
                  <c:v>1788625</c:v>
                </c:pt>
                <c:pt idx="1">
                  <c:v>2167160</c:v>
                </c:pt>
                <c:pt idx="2">
                  <c:v>2938135</c:v>
                </c:pt>
                <c:pt idx="3">
                  <c:v>3312073</c:v>
                </c:pt>
                <c:pt idx="4">
                  <c:v>3685068</c:v>
                </c:pt>
                <c:pt idx="5">
                  <c:v>3782472</c:v>
                </c:pt>
                <c:pt idx="6">
                  <c:v>3860227</c:v>
                </c:pt>
                <c:pt idx="7">
                  <c:v>3584438</c:v>
                </c:pt>
                <c:pt idx="8">
                  <c:v>3038337</c:v>
                </c:pt>
                <c:pt idx="9">
                  <c:v>2594638</c:v>
                </c:pt>
                <c:pt idx="10">
                  <c:v>1886084</c:v>
                </c:pt>
                <c:pt idx="11">
                  <c:v>1699436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"E Grid flottant (kWh)"</c:f>
              <c:strCache>
                <c:ptCount val="1"/>
                <c:pt idx="0">
                  <c:v>E Grid flottant (kWh)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'Tcell terre vs floating saad'!$A$2:$A$13</c:f>
              <c:strCache>
                <c:ptCount val="12"/>
                <c:pt idx="0" c:formatCode="_-* #,##0.00_-;\-* #,##0.00_-;_-* &quot;-&quot;??_-;_-@_-">
                  <c:v>Janvier</c:v>
                </c:pt>
                <c:pt idx="1" c:formatCode="_-* #,##0.00_-;\-* #,##0.00_-;_-* &quot;-&quot;??_-;_-@_-">
                  <c:v>Février</c:v>
                </c:pt>
                <c:pt idx="2" c:formatCode="_-* #,##0.00_-;\-* #,##0.00_-;_-* &quot;-&quot;??_-;_-@_-">
                  <c:v>Mars</c:v>
                </c:pt>
                <c:pt idx="3" c:formatCode="_-* #,##0.00_-;\-* #,##0.00_-;_-* &quot;-&quot;??_-;_-@_-">
                  <c:v>Avril</c:v>
                </c:pt>
                <c:pt idx="4" c:formatCode="_-* #,##0.00_-;\-* #,##0.00_-;_-* &quot;-&quot;??_-;_-@_-">
                  <c:v>Mai</c:v>
                </c:pt>
                <c:pt idx="5" c:formatCode="_-* #,##0.00_-;\-* #,##0.00_-;_-* &quot;-&quot;??_-;_-@_-">
                  <c:v>Juin</c:v>
                </c:pt>
                <c:pt idx="6" c:formatCode="_-* #,##0.00_-;\-* #,##0.00_-;_-* &quot;-&quot;??_-;_-@_-">
                  <c:v>Juillet</c:v>
                </c:pt>
                <c:pt idx="7" c:formatCode="_-* #,##0.00_-;\-* #,##0.00_-;_-* &quot;-&quot;??_-;_-@_-">
                  <c:v>Août</c:v>
                </c:pt>
                <c:pt idx="8" c:formatCode="_-* #,##0.00_-;\-* #,##0.00_-;_-* &quot;-&quot;??_-;_-@_-">
                  <c:v>Septembre</c:v>
                </c:pt>
                <c:pt idx="9" c:formatCode="_-* #,##0.00_-;\-* #,##0.00_-;_-* &quot;-&quot;??_-;_-@_-">
                  <c:v>Octobre</c:v>
                </c:pt>
                <c:pt idx="10" c:formatCode="_-* #,##0.00_-;\-* #,##0.00_-;_-* &quot;-&quot;??_-;_-@_-">
                  <c:v>Novembre</c:v>
                </c:pt>
                <c:pt idx="11" c:formatCode="_-* #,##0.00_-;\-* #,##0.00_-;_-* &quot;-&quot;??_-;_-@_-">
                  <c:v>Décembre</c:v>
                </c:pt>
              </c:strCache>
            </c:strRef>
          </c:cat>
          <c:val>
            <c:numRef>
              <c:f>'Tcell terre vs floating saad'!$L$2:$L$13</c:f>
              <c:numCache>
                <c:formatCode>General</c:formatCode>
                <c:ptCount val="12"/>
                <c:pt idx="0">
                  <c:v>1850253</c:v>
                </c:pt>
                <c:pt idx="1">
                  <c:v>2253746</c:v>
                </c:pt>
                <c:pt idx="2">
                  <c:v>3065732</c:v>
                </c:pt>
                <c:pt idx="3">
                  <c:v>3461347</c:v>
                </c:pt>
                <c:pt idx="4">
                  <c:v>3862201</c:v>
                </c:pt>
                <c:pt idx="5">
                  <c:v>3981709</c:v>
                </c:pt>
                <c:pt idx="6">
                  <c:v>4070896</c:v>
                </c:pt>
                <c:pt idx="7">
                  <c:v>3766958</c:v>
                </c:pt>
                <c:pt idx="8">
                  <c:v>3184265</c:v>
                </c:pt>
                <c:pt idx="9">
                  <c:v>2701714</c:v>
                </c:pt>
                <c:pt idx="10">
                  <c:v>1948662</c:v>
                </c:pt>
                <c:pt idx="11">
                  <c:v>1755352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0904519"/>
        <c:axId val="588214092"/>
      </c:lineChart>
      <c:catAx>
        <c:axId val="2919426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72608"/>
        <c:crosses val="autoZero"/>
        <c:auto val="1"/>
        <c:lblAlgn val="ctr"/>
        <c:lblOffset val="100"/>
        <c:noMultiLvlLbl val="0"/>
      </c:catAx>
      <c:valAx>
        <c:axId val="163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Température des cellules (°C)</a:t>
                </a:r>
              </a:p>
            </c:rich>
          </c:tx>
          <c:layout>
            <c:manualLayout>
              <c:xMode val="edge"/>
              <c:yMode val="edge"/>
              <c:x val="0.00292369164798753"/>
              <c:y val="0.2375687910696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942630"/>
        <c:crosses val="autoZero"/>
        <c:crossBetween val="between"/>
      </c:valAx>
      <c:catAx>
        <c:axId val="840904519"/>
        <c:scaling>
          <c:orientation val="minMax"/>
        </c:scaling>
        <c:delete val="1"/>
        <c:axPos val="t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214092"/>
        <c:crosses val="max"/>
        <c:auto val="1"/>
        <c:lblAlgn val="ctr"/>
        <c:lblOffset val="100"/>
        <c:noMultiLvlLbl val="0"/>
      </c:catAx>
      <c:valAx>
        <c:axId val="588214092"/>
        <c:scaling>
          <c:orientation val="minMax"/>
          <c:max val="4070896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fr-F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Production électrique (kWh)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90451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226060</xdr:colOff>
      <xdr:row>14</xdr:row>
      <xdr:rowOff>89535</xdr:rowOff>
    </xdr:from>
    <xdr:to>
      <xdr:col>11</xdr:col>
      <xdr:colOff>471805</xdr:colOff>
      <xdr:row>31</xdr:row>
      <xdr:rowOff>126365</xdr:rowOff>
    </xdr:to>
    <xdr:graphicFrame>
      <xdr:nvGraphicFramePr>
        <xdr:cNvPr id="2" name="Graphique 1"/>
        <xdr:cNvGraphicFramePr/>
      </xdr:nvGraphicFramePr>
      <xdr:xfrm>
        <a:off x="2664460" y="2657475"/>
        <a:ext cx="5610225" cy="3145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375920</xdr:colOff>
      <xdr:row>12</xdr:row>
      <xdr:rowOff>165735</xdr:rowOff>
    </xdr:from>
    <xdr:to>
      <xdr:col>10</xdr:col>
      <xdr:colOff>293370</xdr:colOff>
      <xdr:row>30</xdr:row>
      <xdr:rowOff>172720</xdr:rowOff>
    </xdr:to>
    <xdr:graphicFrame>
      <xdr:nvGraphicFramePr>
        <xdr:cNvPr id="3" name="Graphique 2"/>
        <xdr:cNvGraphicFramePr/>
      </xdr:nvGraphicFramePr>
      <xdr:xfrm>
        <a:off x="1595120" y="236791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14</xdr:row>
      <xdr:rowOff>158115</xdr:rowOff>
    </xdr:from>
    <xdr:to>
      <xdr:col>10</xdr:col>
      <xdr:colOff>605790</xdr:colOff>
      <xdr:row>32</xdr:row>
      <xdr:rowOff>165100</xdr:rowOff>
    </xdr:to>
    <xdr:graphicFrame>
      <xdr:nvGraphicFramePr>
        <xdr:cNvPr id="2" name="Graphique 1"/>
        <xdr:cNvGraphicFramePr/>
      </xdr:nvGraphicFramePr>
      <xdr:xfrm>
        <a:off x="1907540" y="2726055"/>
        <a:ext cx="6775450" cy="329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527050</xdr:colOff>
      <xdr:row>16</xdr:row>
      <xdr:rowOff>135890</xdr:rowOff>
    </xdr:from>
    <xdr:to>
      <xdr:col>10</xdr:col>
      <xdr:colOff>436245</xdr:colOff>
      <xdr:row>37</xdr:row>
      <xdr:rowOff>64770</xdr:rowOff>
    </xdr:to>
    <xdr:graphicFrame>
      <xdr:nvGraphicFramePr>
        <xdr:cNvPr id="2" name="Graphique 1"/>
        <xdr:cNvGraphicFramePr/>
      </xdr:nvGraphicFramePr>
      <xdr:xfrm>
        <a:off x="2698750" y="3061970"/>
        <a:ext cx="6668135" cy="376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A13" workbookViewId="0">
      <selection activeCell="L1" sqref="A1:A13 L1:M13"/>
    </sheetView>
  </sheetViews>
  <sheetFormatPr defaultColWidth="8.88888888888889" defaultRowHeight="14.4"/>
  <cols>
    <col min="7" max="10" width="12.8888888888889"/>
    <col min="12" max="13" width="12.8888888888889"/>
  </cols>
  <sheetData>
    <row r="1" ht="15" spans="1:19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5" t="s">
        <v>9</v>
      </c>
      <c r="K1" s="34" t="s">
        <v>10</v>
      </c>
      <c r="L1" s="34" t="s">
        <v>11</v>
      </c>
      <c r="M1" s="34" t="s">
        <v>12</v>
      </c>
    </row>
    <row r="2" spans="1:19">
      <c r="A2" s="34" t="s">
        <v>13</v>
      </c>
      <c r="B2" s="36">
        <v>11</v>
      </c>
      <c r="C2" s="36">
        <v>64.9</v>
      </c>
      <c r="D2" s="36">
        <v>2.4</v>
      </c>
      <c r="E2" s="36">
        <v>2.52</v>
      </c>
      <c r="F2" s="36">
        <f>E2*3.6</f>
        <v>9.072</v>
      </c>
      <c r="G2" s="36">
        <f>0.6108*EXP((17.27*B2)/(B2+237.3))</f>
        <v>1.31271413910583</v>
      </c>
      <c r="H2" s="36">
        <f>G2*(C2/100)</f>
        <v>0.851951476279682</v>
      </c>
      <c r="I2" s="36">
        <f>(4098*G2)/((B2+237.3)^2)</f>
        <v>0.0872546695224779</v>
      </c>
      <c r="J2" s="36">
        <f>(0.408*I2*(0.77*F2)+0.067*(900/(B2+273))*D2*(G2-H2))/(I2+0.067*(1+0.34*D2))</f>
        <v>2.31409073927361</v>
      </c>
      <c r="K2" s="36">
        <v>31</v>
      </c>
      <c r="L2" s="36">
        <f>92489*(J2/1000)*K2</f>
        <v>6634.86608992499</v>
      </c>
      <c r="M2" s="36">
        <f>L2*0.7</f>
        <v>4644.40626294749</v>
      </c>
    </row>
    <row r="3" spans="1:19">
      <c r="A3" s="34" t="s">
        <v>14</v>
      </c>
      <c r="B3" s="36">
        <v>11.8</v>
      </c>
      <c r="C3" s="36">
        <v>61.1</v>
      </c>
      <c r="D3" s="36">
        <v>2.59</v>
      </c>
      <c r="E3" s="36">
        <v>3.31</v>
      </c>
      <c r="F3" s="36">
        <f t="shared" ref="F3:F13" si="0">E3*3.6</f>
        <v>11.916</v>
      </c>
      <c r="G3" s="36">
        <f t="shared" ref="G3:G13" si="1">0.6108*EXP((17.27*B3)/(B3+237.3))</f>
        <v>1.38417378318429</v>
      </c>
      <c r="H3" s="36">
        <f t="shared" ref="H3:H13" si="2">G3*(C3/100)</f>
        <v>0.845730181525603</v>
      </c>
      <c r="I3" s="36">
        <f t="shared" ref="I3:I13" si="3">(4098*G3)/((B3+237.3)^2)</f>
        <v>0.0914145063293973</v>
      </c>
      <c r="J3" s="36">
        <f t="shared" ref="J3:J13" si="4">(0.408*I3*(0.77*F3)+0.067*(900/(B3+273))*D3*(G3-H3))/(I3+0.067*(1+0.34*D3))</f>
        <v>2.93209986009255</v>
      </c>
      <c r="K3" s="36">
        <v>28</v>
      </c>
      <c r="L3" s="36">
        <f t="shared" ref="L3:L13" si="5">92489*(J3/1000)*K3</f>
        <v>7593.23555088281</v>
      </c>
      <c r="M3" s="36">
        <f t="shared" ref="M3:M13" si="6">L3*0.7</f>
        <v>5315.26488561796</v>
      </c>
    </row>
    <row r="4" spans="1:19">
      <c r="A4" s="34" t="s">
        <v>15</v>
      </c>
      <c r="B4" s="36">
        <v>15.3</v>
      </c>
      <c r="C4" s="36">
        <v>55.8</v>
      </c>
      <c r="D4" s="36">
        <v>2.69</v>
      </c>
      <c r="E4" s="36">
        <v>4.41</v>
      </c>
      <c r="F4" s="36">
        <f t="shared" si="0"/>
        <v>15.876</v>
      </c>
      <c r="G4" s="36">
        <f t="shared" si="1"/>
        <v>1.73856389546128</v>
      </c>
      <c r="H4" s="36">
        <f t="shared" si="2"/>
        <v>0.970118653667393</v>
      </c>
      <c r="I4" s="36">
        <f t="shared" si="3"/>
        <v>0.111659561519819</v>
      </c>
      <c r="J4" s="36">
        <f t="shared" si="4"/>
        <v>4.12301127057099</v>
      </c>
      <c r="K4" s="36">
        <v>31</v>
      </c>
      <c r="L4" s="36">
        <f t="shared" si="5"/>
        <v>11821.3288715191</v>
      </c>
      <c r="M4" s="36">
        <f t="shared" si="6"/>
        <v>8274.93021006334</v>
      </c>
    </row>
    <row r="5" spans="1:19">
      <c r="A5" s="34" t="s">
        <v>16</v>
      </c>
      <c r="B5" s="36">
        <v>18.5</v>
      </c>
      <c r="C5" s="36">
        <v>54.7</v>
      </c>
      <c r="D5" s="36">
        <v>2.91</v>
      </c>
      <c r="E5" s="36">
        <v>5.73</v>
      </c>
      <c r="F5" s="36">
        <f t="shared" si="0"/>
        <v>20.628</v>
      </c>
      <c r="G5" s="36">
        <f t="shared" si="1"/>
        <v>2.12977730328216</v>
      </c>
      <c r="H5" s="36">
        <f t="shared" si="2"/>
        <v>1.16498818489534</v>
      </c>
      <c r="I5" s="36">
        <f t="shared" si="3"/>
        <v>0.133384408827788</v>
      </c>
      <c r="J5" s="36">
        <f t="shared" si="4"/>
        <v>5.41922151595465</v>
      </c>
      <c r="K5" s="36">
        <v>30</v>
      </c>
      <c r="L5" s="36">
        <f t="shared" si="5"/>
        <v>15036.5513636739</v>
      </c>
      <c r="M5" s="36">
        <f t="shared" si="6"/>
        <v>10525.5859545717</v>
      </c>
    </row>
    <row r="6" spans="1:19">
      <c r="A6" s="34" t="s">
        <v>17</v>
      </c>
      <c r="B6" s="36">
        <v>23</v>
      </c>
      <c r="C6" s="36">
        <v>47.8</v>
      </c>
      <c r="D6" s="36">
        <v>2.79</v>
      </c>
      <c r="E6" s="36">
        <v>6.49</v>
      </c>
      <c r="F6" s="36">
        <f t="shared" si="0"/>
        <v>23.364</v>
      </c>
      <c r="G6" s="36">
        <f t="shared" si="1"/>
        <v>2.80943762239707</v>
      </c>
      <c r="H6" s="36">
        <f t="shared" si="2"/>
        <v>1.3429111835058</v>
      </c>
      <c r="I6" s="36">
        <f t="shared" si="3"/>
        <v>0.169919417967937</v>
      </c>
      <c r="J6" s="36">
        <f t="shared" si="4"/>
        <v>6.92482609983337</v>
      </c>
      <c r="K6" s="36">
        <v>31</v>
      </c>
      <c r="L6" s="36">
        <f t="shared" si="5"/>
        <v>19854.5774755721</v>
      </c>
      <c r="M6" s="36">
        <f t="shared" si="6"/>
        <v>13898.2042329005</v>
      </c>
    </row>
    <row r="7" spans="1:19">
      <c r="A7" s="34" t="s">
        <v>18</v>
      </c>
      <c r="B7" s="36">
        <v>27.3</v>
      </c>
      <c r="C7" s="36">
        <v>42.8</v>
      </c>
      <c r="D7" s="36">
        <v>2.7</v>
      </c>
      <c r="E7" s="36">
        <v>6.95</v>
      </c>
      <c r="F7" s="36">
        <f t="shared" si="0"/>
        <v>25.02</v>
      </c>
      <c r="G7" s="36">
        <f t="shared" si="1"/>
        <v>3.62857384599386</v>
      </c>
      <c r="H7" s="36">
        <f t="shared" si="2"/>
        <v>1.55302960608537</v>
      </c>
      <c r="I7" s="36">
        <f t="shared" si="3"/>
        <v>0.212387151513842</v>
      </c>
      <c r="J7" s="36">
        <f t="shared" si="4"/>
        <v>8.1981574958057</v>
      </c>
      <c r="K7" s="36">
        <v>30</v>
      </c>
      <c r="L7" s="36">
        <f t="shared" si="5"/>
        <v>22747.1816588872</v>
      </c>
      <c r="M7" s="36">
        <f t="shared" si="6"/>
        <v>15923.027161221</v>
      </c>
    </row>
    <row r="8" spans="1:19">
      <c r="A8" s="34" t="s">
        <v>19</v>
      </c>
      <c r="B8" s="36">
        <v>31.2</v>
      </c>
      <c r="C8" s="36">
        <v>39.4</v>
      </c>
      <c r="D8" s="36">
        <v>2.39</v>
      </c>
      <c r="E8" s="36">
        <v>6.95</v>
      </c>
      <c r="F8" s="36">
        <f t="shared" si="0"/>
        <v>25.02</v>
      </c>
      <c r="G8" s="36">
        <f t="shared" si="1"/>
        <v>4.54399958664541</v>
      </c>
      <c r="H8" s="36">
        <f t="shared" si="2"/>
        <v>1.79033583713829</v>
      </c>
      <c r="I8" s="36">
        <f t="shared" si="3"/>
        <v>0.258298365026378</v>
      </c>
      <c r="J8" s="36">
        <f t="shared" si="4"/>
        <v>8.781914841801</v>
      </c>
      <c r="K8" s="36">
        <v>31</v>
      </c>
      <c r="L8" s="36">
        <f t="shared" si="5"/>
        <v>25179.1461759033</v>
      </c>
      <c r="M8" s="36">
        <f t="shared" si="6"/>
        <v>17625.4023231323</v>
      </c>
    </row>
    <row r="9" spans="1:19">
      <c r="A9" s="34" t="s">
        <v>20</v>
      </c>
      <c r="B9" s="36">
        <v>30.4</v>
      </c>
      <c r="C9" s="36">
        <v>43.9</v>
      </c>
      <c r="D9" s="36">
        <v>2.18</v>
      </c>
      <c r="E9" s="36">
        <v>6.34</v>
      </c>
      <c r="F9" s="36">
        <f t="shared" si="0"/>
        <v>22.824</v>
      </c>
      <c r="G9" s="36">
        <f t="shared" si="1"/>
        <v>4.34139063766225</v>
      </c>
      <c r="H9" s="36">
        <f t="shared" si="2"/>
        <v>1.90587048993373</v>
      </c>
      <c r="I9" s="36">
        <f t="shared" si="3"/>
        <v>0.248258471431327</v>
      </c>
      <c r="J9" s="36">
        <f t="shared" si="4"/>
        <v>7.76979930025945</v>
      </c>
      <c r="K9" s="36">
        <v>31</v>
      </c>
      <c r="L9" s="36">
        <f t="shared" si="5"/>
        <v>22277.2499919326</v>
      </c>
      <c r="M9" s="36">
        <f t="shared" si="6"/>
        <v>15594.0749943528</v>
      </c>
    </row>
    <row r="10" spans="1:19">
      <c r="A10" s="34" t="s">
        <v>21</v>
      </c>
      <c r="B10" s="36">
        <v>25.6</v>
      </c>
      <c r="C10" s="36">
        <v>57.6</v>
      </c>
      <c r="D10" s="36">
        <v>2.2</v>
      </c>
      <c r="E10" s="36">
        <v>5.23</v>
      </c>
      <c r="F10" s="36">
        <f t="shared" si="0"/>
        <v>18.828</v>
      </c>
      <c r="G10" s="36">
        <f t="shared" si="1"/>
        <v>3.28277116977693</v>
      </c>
      <c r="H10" s="36">
        <f t="shared" si="2"/>
        <v>1.89087619379151</v>
      </c>
      <c r="I10" s="36">
        <f t="shared" si="3"/>
        <v>0.194639684754255</v>
      </c>
      <c r="J10" s="36">
        <f t="shared" si="4"/>
        <v>5.67648461177374</v>
      </c>
      <c r="K10" s="36">
        <v>30</v>
      </c>
      <c r="L10" s="36">
        <f t="shared" si="5"/>
        <v>15750.3715577502</v>
      </c>
      <c r="M10" s="36">
        <f t="shared" si="6"/>
        <v>11025.2600904252</v>
      </c>
    </row>
    <row r="11" spans="1:19">
      <c r="A11" s="34" t="s">
        <v>22</v>
      </c>
      <c r="B11" s="36">
        <v>22.1</v>
      </c>
      <c r="C11" s="36">
        <v>62</v>
      </c>
      <c r="D11" s="36">
        <v>2.1</v>
      </c>
      <c r="E11" s="36">
        <v>4.05</v>
      </c>
      <c r="F11" s="36">
        <f t="shared" si="0"/>
        <v>14.58</v>
      </c>
      <c r="G11" s="36">
        <f t="shared" si="1"/>
        <v>2.6600893350973</v>
      </c>
      <c r="H11" s="36">
        <f t="shared" si="2"/>
        <v>1.64925538776033</v>
      </c>
      <c r="I11" s="36">
        <f t="shared" si="3"/>
        <v>0.162004930648165</v>
      </c>
      <c r="J11" s="36">
        <f t="shared" si="4"/>
        <v>4.24722297955237</v>
      </c>
      <c r="K11" s="36">
        <v>31</v>
      </c>
      <c r="L11" s="36">
        <f t="shared" si="5"/>
        <v>12177.4635908304</v>
      </c>
      <c r="M11" s="36">
        <f t="shared" si="6"/>
        <v>8524.22451358128</v>
      </c>
    </row>
    <row r="12" spans="1:19">
      <c r="A12" s="34" t="s">
        <v>23</v>
      </c>
      <c r="B12" s="36">
        <v>15.9</v>
      </c>
      <c r="C12" s="36">
        <v>63.5</v>
      </c>
      <c r="D12" s="36">
        <v>2.2</v>
      </c>
      <c r="E12" s="36">
        <v>2.95</v>
      </c>
      <c r="F12" s="36">
        <f t="shared" si="0"/>
        <v>10.62</v>
      </c>
      <c r="G12" s="36">
        <f t="shared" si="1"/>
        <v>1.80670512903275</v>
      </c>
      <c r="H12" s="36">
        <f t="shared" si="2"/>
        <v>1.1472577569358</v>
      </c>
      <c r="I12" s="36">
        <f t="shared" si="3"/>
        <v>0.115486662018052</v>
      </c>
      <c r="J12" s="36">
        <f t="shared" si="4"/>
        <v>2.95834514704646</v>
      </c>
      <c r="K12" s="36">
        <v>30</v>
      </c>
      <c r="L12" s="36">
        <f t="shared" si="5"/>
        <v>8208.43152915539</v>
      </c>
      <c r="M12" s="36">
        <f t="shared" si="6"/>
        <v>5745.90207040877</v>
      </c>
    </row>
    <row r="13" spans="1:19">
      <c r="A13" s="34" t="s">
        <v>24</v>
      </c>
      <c r="B13" s="36">
        <v>12.2</v>
      </c>
      <c r="C13" s="36">
        <v>66.3</v>
      </c>
      <c r="D13" s="36">
        <v>2.29</v>
      </c>
      <c r="E13" s="36">
        <v>2.4</v>
      </c>
      <c r="F13" s="36">
        <f t="shared" si="0"/>
        <v>8.64</v>
      </c>
      <c r="G13" s="36">
        <f t="shared" si="1"/>
        <v>1.42116822098358</v>
      </c>
      <c r="H13" s="36">
        <f t="shared" si="2"/>
        <v>0.942234530512111</v>
      </c>
      <c r="I13" s="36">
        <f t="shared" si="3"/>
        <v>0.0935570117323335</v>
      </c>
      <c r="J13" s="36">
        <f t="shared" si="4"/>
        <v>2.28387850288757</v>
      </c>
      <c r="K13" s="36">
        <v>31</v>
      </c>
      <c r="L13" s="36">
        <f t="shared" si="5"/>
        <v>6548.24280446062</v>
      </c>
      <c r="M13" s="36">
        <f t="shared" si="6"/>
        <v>4583.76996312244</v>
      </c>
    </row>
    <row r="14" spans="1:19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4" t="s">
        <v>25</v>
      </c>
      <c r="L14" s="37">
        <f>SUM(L2:L13)</f>
        <v>173828.646660493</v>
      </c>
      <c r="M14" s="37">
        <f>SUM(M2:M13)</f>
        <v>121680.052662345</v>
      </c>
      <c r="R14" s="20" t="s">
        <v>26</v>
      </c>
      <c r="S14" s="21"/>
    </row>
    <row r="15" spans="1:19"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27">
        <v>2.31</v>
      </c>
      <c r="Q16" s="27">
        <v>31</v>
      </c>
      <c r="R16" s="27" t="s">
        <v>29</v>
      </c>
      <c r="S16" s="28" t="s">
        <v>30</v>
      </c>
    </row>
    <row r="17" spans="1:19">
      <c r="O17" s="26" t="s">
        <v>14</v>
      </c>
      <c r="P17" s="27">
        <v>2.93</v>
      </c>
      <c r="Q17" s="27">
        <v>28</v>
      </c>
      <c r="R17" s="27" t="s">
        <v>31</v>
      </c>
      <c r="S17" s="28" t="s">
        <v>32</v>
      </c>
    </row>
    <row r="18" spans="1:19">
      <c r="O18" s="26" t="s">
        <v>15</v>
      </c>
      <c r="P18" s="27">
        <v>4.12</v>
      </c>
      <c r="Q18" s="27">
        <v>31</v>
      </c>
      <c r="R18" s="27" t="s">
        <v>33</v>
      </c>
      <c r="S18" s="28" t="s">
        <v>34</v>
      </c>
    </row>
    <row r="19" spans="1:19">
      <c r="O19" s="26" t="s">
        <v>16</v>
      </c>
      <c r="P19" s="27">
        <v>5.42</v>
      </c>
      <c r="Q19" s="27">
        <v>30</v>
      </c>
      <c r="R19" s="27" t="s">
        <v>35</v>
      </c>
      <c r="S19" s="28" t="s">
        <v>36</v>
      </c>
    </row>
    <row r="20" spans="1:19">
      <c r="O20" s="26" t="s">
        <v>17</v>
      </c>
      <c r="P20" s="27">
        <v>6.92</v>
      </c>
      <c r="Q20" s="27">
        <v>31</v>
      </c>
      <c r="R20" s="27" t="s">
        <v>37</v>
      </c>
      <c r="S20" s="28" t="s">
        <v>38</v>
      </c>
    </row>
    <row r="21" spans="1:19">
      <c r="A21" s="2" t="s">
        <v>0</v>
      </c>
      <c r="B21" s="2" t="s">
        <v>39</v>
      </c>
      <c r="C21" s="2" t="s">
        <v>40</v>
      </c>
      <c r="O21" s="26" t="s">
        <v>18</v>
      </c>
      <c r="P21" s="27">
        <v>8.2</v>
      </c>
      <c r="Q21" s="27">
        <v>30</v>
      </c>
      <c r="R21" s="27" t="s">
        <v>41</v>
      </c>
      <c r="S21" s="28" t="s">
        <v>42</v>
      </c>
    </row>
    <row r="22" spans="1:19">
      <c r="A22" s="2" t="s">
        <v>13</v>
      </c>
      <c r="B22">
        <v>6635</v>
      </c>
      <c r="C22">
        <v>4644</v>
      </c>
      <c r="O22" s="26" t="s">
        <v>19</v>
      </c>
      <c r="P22" s="27">
        <v>8.78</v>
      </c>
      <c r="Q22" s="27">
        <v>31</v>
      </c>
      <c r="R22" s="27" t="s">
        <v>43</v>
      </c>
      <c r="S22" s="28" t="s">
        <v>44</v>
      </c>
    </row>
    <row r="23" spans="1:19">
      <c r="A23" s="2" t="s">
        <v>14</v>
      </c>
      <c r="B23">
        <v>7593</v>
      </c>
      <c r="C23">
        <v>5315</v>
      </c>
      <c r="O23" s="26" t="s">
        <v>20</v>
      </c>
      <c r="P23" s="27">
        <v>7.77</v>
      </c>
      <c r="Q23" s="27">
        <v>31</v>
      </c>
      <c r="R23" s="27" t="s">
        <v>45</v>
      </c>
      <c r="S23" s="28" t="s">
        <v>46</v>
      </c>
    </row>
    <row r="24" spans="1:19">
      <c r="A24" s="2" t="s">
        <v>15</v>
      </c>
      <c r="B24">
        <v>11821</v>
      </c>
      <c r="C24">
        <v>8275</v>
      </c>
      <c r="O24" s="26" t="s">
        <v>21</v>
      </c>
      <c r="P24" s="27">
        <v>5.68</v>
      </c>
      <c r="Q24" s="27">
        <v>30</v>
      </c>
      <c r="R24" s="27" t="s">
        <v>47</v>
      </c>
      <c r="S24" s="28" t="s">
        <v>48</v>
      </c>
    </row>
    <row r="25" spans="1:19">
      <c r="A25" s="2" t="s">
        <v>16</v>
      </c>
      <c r="B25">
        <v>15037</v>
      </c>
      <c r="C25">
        <v>10526</v>
      </c>
      <c r="O25" s="26" t="s">
        <v>22</v>
      </c>
      <c r="P25" s="27">
        <v>4.25</v>
      </c>
      <c r="Q25" s="27">
        <v>31</v>
      </c>
      <c r="R25" s="27" t="s">
        <v>49</v>
      </c>
      <c r="S25" s="28" t="s">
        <v>50</v>
      </c>
    </row>
    <row r="26" spans="1:19">
      <c r="A26" s="2" t="s">
        <v>17</v>
      </c>
      <c r="B26">
        <v>19855</v>
      </c>
      <c r="C26">
        <v>13898</v>
      </c>
      <c r="O26" s="26" t="s">
        <v>23</v>
      </c>
      <c r="P26" s="27">
        <v>2.96</v>
      </c>
      <c r="Q26" s="27">
        <v>30</v>
      </c>
      <c r="R26" s="27" t="s">
        <v>51</v>
      </c>
      <c r="S26" s="28" t="s">
        <v>52</v>
      </c>
    </row>
    <row r="27" spans="1:19">
      <c r="A27" s="2" t="s">
        <v>18</v>
      </c>
      <c r="B27">
        <v>22747</v>
      </c>
      <c r="C27">
        <v>15923</v>
      </c>
      <c r="O27" s="29" t="s">
        <v>24</v>
      </c>
      <c r="P27" s="30">
        <v>2.28</v>
      </c>
      <c r="Q27" s="30">
        <v>31</v>
      </c>
      <c r="R27" s="30" t="s">
        <v>53</v>
      </c>
      <c r="S27" s="38" t="s">
        <v>54</v>
      </c>
    </row>
    <row r="28" spans="1:19">
      <c r="A28" s="2" t="s">
        <v>19</v>
      </c>
      <c r="B28">
        <v>25179</v>
      </c>
      <c r="C28">
        <v>17625</v>
      </c>
      <c r="P28" s="31"/>
      <c r="Q28" s="32" t="s">
        <v>55</v>
      </c>
      <c r="R28" s="33"/>
      <c r="S28" s="32" t="s">
        <v>56</v>
      </c>
    </row>
    <row r="29" spans="1:19">
      <c r="A29" s="2" t="s">
        <v>20</v>
      </c>
      <c r="B29">
        <v>22277</v>
      </c>
      <c r="C29">
        <v>15594</v>
      </c>
    </row>
    <row r="30" spans="1:19">
      <c r="A30" s="2" t="s">
        <v>21</v>
      </c>
      <c r="B30">
        <v>15750</v>
      </c>
      <c r="C30">
        <v>11025</v>
      </c>
    </row>
    <row r="31" spans="1:19">
      <c r="A31" s="2" t="s">
        <v>22</v>
      </c>
      <c r="B31">
        <v>12177</v>
      </c>
      <c r="C31">
        <v>8524</v>
      </c>
    </row>
    <row r="32" spans="1:19">
      <c r="A32" s="2" t="s">
        <v>23</v>
      </c>
      <c r="B32">
        <v>8208</v>
      </c>
      <c r="C32">
        <v>5746</v>
      </c>
    </row>
    <row r="33" spans="1:3">
      <c r="A33" s="2" t="s">
        <v>24</v>
      </c>
      <c r="B33">
        <v>6548</v>
      </c>
      <c r="C33">
        <v>4584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opLeftCell="A7" workbookViewId="0">
      <selection activeCell="J2" sqref="J2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3">
        <v>11.1</v>
      </c>
      <c r="C2" s="4">
        <v>66.2</v>
      </c>
      <c r="D2" s="4">
        <v>2.11</v>
      </c>
      <c r="E2" s="4">
        <v>2.74</v>
      </c>
      <c r="F2" s="4">
        <f>E2*3.6</f>
        <v>9.864</v>
      </c>
      <c r="G2" s="3">
        <f>0.6108*EXP((17.27*B2)/(B2+237.3))</f>
        <v>1.32146549931013</v>
      </c>
      <c r="H2" s="4">
        <f t="shared" ref="H2:H13" si="0">G2*(C2/100)</f>
        <v>0.874810160543306</v>
      </c>
      <c r="I2" s="4">
        <f t="shared" ref="I2:I13" si="1">(4098*G2)/((B2+237.3)^2)</f>
        <v>0.0877656553662103</v>
      </c>
      <c r="J2" s="4">
        <f t="shared" ref="J2:J13" si="2">(0.408*I2*(0.77*F2)+0.067*(900/(B2+273))*D2*(G2-H2))/(I2+0.067*(1+0.34*D2))</f>
        <v>2.32709200925691</v>
      </c>
      <c r="K2" s="4">
        <v>31</v>
      </c>
      <c r="L2" s="4">
        <f t="shared" ref="L2:L13" si="3">92489*(J2/1000)*K2</f>
        <v>6672.14279816902</v>
      </c>
      <c r="M2" s="4">
        <f t="shared" ref="M2:M13" si="4">L2*0.7</f>
        <v>4670.49995871832</v>
      </c>
    </row>
    <row r="3" spans="1:19">
      <c r="A3" s="1" t="s">
        <v>14</v>
      </c>
      <c r="B3" s="3">
        <v>11.8</v>
      </c>
      <c r="C3" s="4">
        <v>61.5</v>
      </c>
      <c r="D3" s="4">
        <v>2.21</v>
      </c>
      <c r="E3" s="4">
        <v>3.62</v>
      </c>
      <c r="F3" s="4">
        <f t="shared" ref="F3:F13" si="5">E3*3.6</f>
        <v>13.032</v>
      </c>
      <c r="G3" s="3">
        <f t="shared" ref="G3:G13" si="6">0.6108*EXP((17.27*B3)/(B3+237.3))</f>
        <v>1.38417378318429</v>
      </c>
      <c r="H3" s="4">
        <f t="shared" si="0"/>
        <v>0.85126687665834</v>
      </c>
      <c r="I3" s="4">
        <f t="shared" si="1"/>
        <v>0.0914145063293973</v>
      </c>
      <c r="J3" s="4">
        <f t="shared" si="2"/>
        <v>2.98728139752931</v>
      </c>
      <c r="K3" s="4">
        <v>28</v>
      </c>
      <c r="L3" s="4">
        <f t="shared" si="3"/>
        <v>7736.13873693048</v>
      </c>
      <c r="M3" s="4">
        <f t="shared" si="4"/>
        <v>5415.29711585133</v>
      </c>
    </row>
    <row r="4" spans="1:19">
      <c r="A4" s="1" t="s">
        <v>15</v>
      </c>
      <c r="B4" s="3">
        <v>14.8</v>
      </c>
      <c r="C4" s="4">
        <v>59</v>
      </c>
      <c r="D4" s="4">
        <v>2.09</v>
      </c>
      <c r="E4" s="4">
        <v>4.82</v>
      </c>
      <c r="F4" s="4">
        <f t="shared" si="5"/>
        <v>17.352</v>
      </c>
      <c r="G4" s="3">
        <f t="shared" si="6"/>
        <v>1.68351152803309</v>
      </c>
      <c r="H4" s="4">
        <f t="shared" si="0"/>
        <v>0.993271801539523</v>
      </c>
      <c r="I4" s="4">
        <f t="shared" si="1"/>
        <v>0.108553131747736</v>
      </c>
      <c r="J4" s="4">
        <f t="shared" si="2"/>
        <v>4.00608217447984</v>
      </c>
      <c r="K4" s="4">
        <v>31</v>
      </c>
      <c r="L4" s="4">
        <f t="shared" si="3"/>
        <v>11486.0745612994</v>
      </c>
      <c r="M4" s="4">
        <f t="shared" si="4"/>
        <v>8040.2521929096</v>
      </c>
    </row>
    <row r="5" spans="1:19">
      <c r="A5" s="1" t="s">
        <v>16</v>
      </c>
      <c r="B5" s="3">
        <v>18</v>
      </c>
      <c r="C5" s="4">
        <v>57.2</v>
      </c>
      <c r="D5" s="4">
        <v>1.99</v>
      </c>
      <c r="E5" s="4">
        <v>6.04</v>
      </c>
      <c r="F5" s="4">
        <f t="shared" si="5"/>
        <v>21.744</v>
      </c>
      <c r="G5" s="3">
        <f t="shared" si="6"/>
        <v>2.06398920266049</v>
      </c>
      <c r="H5" s="4">
        <f t="shared" si="0"/>
        <v>1.1806018239218</v>
      </c>
      <c r="I5" s="4">
        <f t="shared" si="1"/>
        <v>0.129771028155361</v>
      </c>
      <c r="J5" s="4">
        <f t="shared" si="2"/>
        <v>5.1661953636932</v>
      </c>
      <c r="K5" s="4">
        <v>30</v>
      </c>
      <c r="L5" s="4">
        <f t="shared" si="3"/>
        <v>14334.4872897786</v>
      </c>
      <c r="M5" s="4">
        <f t="shared" si="4"/>
        <v>10034.141102845</v>
      </c>
      <c r="O5" t="s">
        <v>58</v>
      </c>
    </row>
    <row r="6" spans="1:19">
      <c r="A6" s="1" t="s">
        <v>17</v>
      </c>
      <c r="B6" s="3">
        <v>22.1</v>
      </c>
      <c r="C6" s="4">
        <v>50.4</v>
      </c>
      <c r="D6" s="4">
        <v>2.01</v>
      </c>
      <c r="E6" s="4">
        <v>6.93</v>
      </c>
      <c r="F6" s="4">
        <f t="shared" si="5"/>
        <v>24.948</v>
      </c>
      <c r="G6" s="3">
        <f t="shared" si="6"/>
        <v>2.6600893350973</v>
      </c>
      <c r="H6" s="4">
        <f t="shared" si="0"/>
        <v>1.34068502488904</v>
      </c>
      <c r="I6" s="4">
        <f t="shared" si="1"/>
        <v>0.162004930648165</v>
      </c>
      <c r="J6" s="4">
        <f t="shared" si="2"/>
        <v>6.59276460700416</v>
      </c>
      <c r="K6" s="4">
        <v>31</v>
      </c>
      <c r="L6" s="4">
        <f t="shared" si="3"/>
        <v>18902.5043778534</v>
      </c>
      <c r="M6" s="4">
        <f t="shared" si="4"/>
        <v>13231.7530644974</v>
      </c>
    </row>
    <row r="7" spans="1:19">
      <c r="A7" s="1" t="s">
        <v>18</v>
      </c>
      <c r="B7" s="3">
        <v>26.8</v>
      </c>
      <c r="C7" s="4">
        <v>44.2</v>
      </c>
      <c r="D7" s="4">
        <v>1.95</v>
      </c>
      <c r="E7" s="4">
        <v>7.67</v>
      </c>
      <c r="F7" s="4">
        <f t="shared" si="5"/>
        <v>27.612</v>
      </c>
      <c r="G7" s="3">
        <f t="shared" si="6"/>
        <v>3.52371959280993</v>
      </c>
      <c r="H7" s="4">
        <f t="shared" si="0"/>
        <v>1.55748406002199</v>
      </c>
      <c r="I7" s="4">
        <f t="shared" si="1"/>
        <v>0.207031530592925</v>
      </c>
      <c r="J7" s="4">
        <f t="shared" si="2"/>
        <v>8.06114786610569</v>
      </c>
      <c r="K7" s="4">
        <v>30</v>
      </c>
      <c r="L7" s="4">
        <f t="shared" si="3"/>
        <v>22367.0251496475</v>
      </c>
      <c r="M7" s="4">
        <f t="shared" si="4"/>
        <v>15656.9176047532</v>
      </c>
    </row>
    <row r="8" spans="1:19">
      <c r="A8" s="1" t="s">
        <v>19</v>
      </c>
      <c r="B8" s="3">
        <v>30.1</v>
      </c>
      <c r="C8" s="4">
        <v>41.6</v>
      </c>
      <c r="D8" s="4">
        <v>1.83</v>
      </c>
      <c r="E8" s="4">
        <v>7.63</v>
      </c>
      <c r="F8" s="4">
        <f t="shared" si="5"/>
        <v>27.468</v>
      </c>
      <c r="G8" s="3">
        <f t="shared" si="6"/>
        <v>4.26746310454076</v>
      </c>
      <c r="H8" s="4">
        <f t="shared" si="0"/>
        <v>1.77526465148895</v>
      </c>
      <c r="I8" s="4">
        <f t="shared" si="1"/>
        <v>0.244578863842571</v>
      </c>
      <c r="J8" s="4">
        <f t="shared" si="2"/>
        <v>8.54280689129957</v>
      </c>
      <c r="K8" s="4">
        <v>31</v>
      </c>
      <c r="L8" s="4">
        <f t="shared" si="3"/>
        <v>24493.5856636516</v>
      </c>
      <c r="M8" s="4">
        <f t="shared" si="4"/>
        <v>17145.5099645561</v>
      </c>
    </row>
    <row r="9" spans="1:19">
      <c r="A9" s="1" t="s">
        <v>20</v>
      </c>
      <c r="B9" s="3">
        <v>29.5</v>
      </c>
      <c r="C9" s="4">
        <v>46.1</v>
      </c>
      <c r="D9" s="4">
        <v>1.63</v>
      </c>
      <c r="E9" s="4">
        <v>6.73</v>
      </c>
      <c r="F9" s="4">
        <f t="shared" si="5"/>
        <v>24.228</v>
      </c>
      <c r="G9" s="3">
        <f t="shared" si="6"/>
        <v>4.12288546938118</v>
      </c>
      <c r="H9" s="4">
        <f t="shared" si="0"/>
        <v>1.90065020138472</v>
      </c>
      <c r="I9" s="4">
        <f t="shared" si="1"/>
        <v>0.237356743107889</v>
      </c>
      <c r="J9" s="4">
        <f t="shared" si="2"/>
        <v>7.4049048125289</v>
      </c>
      <c r="K9" s="4">
        <v>31</v>
      </c>
      <c r="L9" s="4">
        <f t="shared" si="3"/>
        <v>21231.0394773856</v>
      </c>
      <c r="M9" s="4">
        <f t="shared" si="4"/>
        <v>14861.7276341699</v>
      </c>
    </row>
    <row r="10" spans="1:19">
      <c r="A10" s="1" t="s">
        <v>21</v>
      </c>
      <c r="B10" s="3">
        <v>25.3</v>
      </c>
      <c r="C10" s="4">
        <v>59.6</v>
      </c>
      <c r="D10" s="4">
        <v>1.56</v>
      </c>
      <c r="E10" s="4">
        <v>5.44</v>
      </c>
      <c r="F10" s="4">
        <f t="shared" si="5"/>
        <v>19.584</v>
      </c>
      <c r="G10" s="3">
        <f t="shared" si="6"/>
        <v>3.22482759071111</v>
      </c>
      <c r="H10" s="4">
        <f t="shared" si="0"/>
        <v>1.92199724406382</v>
      </c>
      <c r="I10" s="4">
        <f t="shared" si="1"/>
        <v>0.191641257278033</v>
      </c>
      <c r="J10" s="4">
        <f t="shared" si="2"/>
        <v>5.40461194291648</v>
      </c>
      <c r="K10" s="4">
        <v>30</v>
      </c>
      <c r="L10" s="4">
        <f t="shared" si="3"/>
        <v>14996.0146196521</v>
      </c>
      <c r="M10" s="4">
        <f t="shared" si="4"/>
        <v>10497.2102337565</v>
      </c>
    </row>
    <row r="11" spans="1:19">
      <c r="A11" s="1" t="s">
        <v>22</v>
      </c>
      <c r="B11" s="3">
        <v>21.5</v>
      </c>
      <c r="C11" s="4">
        <v>64.2</v>
      </c>
      <c r="D11" s="4">
        <v>1.49</v>
      </c>
      <c r="E11" s="4">
        <v>4.13</v>
      </c>
      <c r="F11" s="4">
        <f t="shared" si="5"/>
        <v>14.868</v>
      </c>
      <c r="G11" s="3">
        <f t="shared" si="6"/>
        <v>2.56441972065546</v>
      </c>
      <c r="H11" s="4">
        <f t="shared" si="0"/>
        <v>1.64635746066081</v>
      </c>
      <c r="I11" s="4">
        <f t="shared" si="1"/>
        <v>0.156903459063919</v>
      </c>
      <c r="J11" s="4">
        <f t="shared" si="2"/>
        <v>3.92859271082824</v>
      </c>
      <c r="K11" s="4">
        <v>31</v>
      </c>
      <c r="L11" s="4">
        <f t="shared" si="3"/>
        <v>11263.8999481856</v>
      </c>
      <c r="M11" s="4">
        <f t="shared" si="4"/>
        <v>7884.7299637299</v>
      </c>
    </row>
    <row r="12" spans="1:19">
      <c r="A12" s="1" t="s">
        <v>23</v>
      </c>
      <c r="B12" s="3">
        <v>16</v>
      </c>
      <c r="C12" s="4">
        <v>64.8</v>
      </c>
      <c r="D12" s="4">
        <v>1.81</v>
      </c>
      <c r="E12" s="4">
        <v>2.89</v>
      </c>
      <c r="F12" s="4">
        <f t="shared" si="5"/>
        <v>10.404</v>
      </c>
      <c r="G12" s="3">
        <f t="shared" si="6"/>
        <v>1.81828668048555</v>
      </c>
      <c r="H12" s="4">
        <f t="shared" si="0"/>
        <v>1.17824976895464</v>
      </c>
      <c r="I12" s="4">
        <f t="shared" si="1"/>
        <v>0.116135215964582</v>
      </c>
      <c r="J12" s="4">
        <f t="shared" si="2"/>
        <v>2.7691461193614</v>
      </c>
      <c r="K12" s="4">
        <v>30</v>
      </c>
      <c r="L12" s="4">
        <f t="shared" si="3"/>
        <v>7683.46666300849</v>
      </c>
      <c r="M12" s="4">
        <f t="shared" si="4"/>
        <v>5378.42666410594</v>
      </c>
    </row>
    <row r="13" spans="1:19">
      <c r="A13" s="1" t="s">
        <v>24</v>
      </c>
      <c r="B13" s="3">
        <v>12.2</v>
      </c>
      <c r="C13" s="4">
        <v>67.1</v>
      </c>
      <c r="D13" s="4">
        <v>2.06</v>
      </c>
      <c r="E13" s="4">
        <v>2.41</v>
      </c>
      <c r="F13" s="4">
        <f t="shared" si="5"/>
        <v>8.676</v>
      </c>
      <c r="G13" s="3">
        <f t="shared" si="6"/>
        <v>1.42116822098358</v>
      </c>
      <c r="H13" s="4">
        <f t="shared" si="0"/>
        <v>0.953603876279979</v>
      </c>
      <c r="I13" s="4">
        <f t="shared" si="1"/>
        <v>0.0935570117323335</v>
      </c>
      <c r="J13" s="4">
        <f t="shared" si="2"/>
        <v>2.21053443982516</v>
      </c>
      <c r="K13" s="4">
        <v>31</v>
      </c>
      <c r="L13" s="4">
        <f t="shared" si="3"/>
        <v>6337.95371395466</v>
      </c>
      <c r="M13" s="4">
        <f t="shared" si="4"/>
        <v>4436.56759976826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"/>
      <c r="L14" s="18" t="s">
        <v>59</v>
      </c>
      <c r="M14" s="19">
        <f>SUM(M2:M13)</f>
        <v>117253.033099661</v>
      </c>
      <c r="R14" s="20" t="s">
        <v>26</v>
      </c>
      <c r="S14" s="21"/>
    </row>
    <row r="15" spans="1:19">
      <c r="L15">
        <f>L2+L3+L4+L5+L6+L7+L8+L9+L10+L11+L12+L13</f>
        <v>167504.332999516</v>
      </c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4">
        <v>2.33</v>
      </c>
      <c r="Q16" s="27">
        <v>31</v>
      </c>
      <c r="R16" s="27">
        <f>92489*(P16/1000)*Q16</f>
        <v>6680.48047</v>
      </c>
      <c r="S16" s="28">
        <f>0.7*R16</f>
        <v>4676.336329</v>
      </c>
    </row>
    <row r="17" spans="1:19">
      <c r="O17" s="26" t="s">
        <v>14</v>
      </c>
      <c r="P17" s="4">
        <v>2.99</v>
      </c>
      <c r="Q17" s="27">
        <v>28</v>
      </c>
      <c r="R17" s="27">
        <f t="shared" ref="R17:R27" si="7">92489*(P17/1000)*Q17</f>
        <v>7743.17908</v>
      </c>
      <c r="S17" s="28">
        <f t="shared" ref="S17:S27" si="8">0.7*R17</f>
        <v>5420.225356</v>
      </c>
    </row>
    <row r="18" spans="1:19">
      <c r="O18" s="26" t="s">
        <v>15</v>
      </c>
      <c r="P18" s="4">
        <v>4.01</v>
      </c>
      <c r="Q18" s="27">
        <v>31</v>
      </c>
      <c r="R18" s="27">
        <f t="shared" si="7"/>
        <v>11497.30759</v>
      </c>
      <c r="S18" s="28">
        <f t="shared" si="8"/>
        <v>8048.115313</v>
      </c>
    </row>
    <row r="19" spans="1:19">
      <c r="M19">
        <f>G2-H2</f>
        <v>0.446655338766824</v>
      </c>
      <c r="O19" s="26" t="s">
        <v>16</v>
      </c>
      <c r="P19" s="4">
        <v>5.17</v>
      </c>
      <c r="Q19" s="27">
        <v>30</v>
      </c>
      <c r="R19" s="27">
        <f t="shared" si="7"/>
        <v>14345.0439</v>
      </c>
      <c r="S19" s="28">
        <f t="shared" si="8"/>
        <v>10041.53073</v>
      </c>
    </row>
    <row r="20" spans="1:19">
      <c r="O20" s="26" t="s">
        <v>17</v>
      </c>
      <c r="P20" s="4">
        <v>6.59</v>
      </c>
      <c r="Q20" s="27">
        <v>31</v>
      </c>
      <c r="R20" s="27">
        <f t="shared" si="7"/>
        <v>18894.57781</v>
      </c>
      <c r="S20" s="28">
        <f t="shared" si="8"/>
        <v>13226.204467</v>
      </c>
    </row>
    <row r="21" spans="1:19">
      <c r="A21" s="2"/>
      <c r="B21" s="2"/>
      <c r="C21" s="2"/>
      <c r="O21" s="26" t="s">
        <v>18</v>
      </c>
      <c r="P21" s="4">
        <v>8.06</v>
      </c>
      <c r="Q21" s="27">
        <v>30</v>
      </c>
      <c r="R21" s="27">
        <f t="shared" si="7"/>
        <v>22363.8402</v>
      </c>
      <c r="S21" s="28">
        <f t="shared" si="8"/>
        <v>15654.68814</v>
      </c>
    </row>
    <row r="22" spans="1:19">
      <c r="A22" s="2"/>
      <c r="M22">
        <f>0.77*F2</f>
        <v>7.59528</v>
      </c>
      <c r="O22" s="26" t="s">
        <v>19</v>
      </c>
      <c r="P22" s="4">
        <v>8.54</v>
      </c>
      <c r="Q22" s="27">
        <v>31</v>
      </c>
      <c r="R22" s="27">
        <f t="shared" si="7"/>
        <v>24485.53786</v>
      </c>
      <c r="S22" s="28">
        <f t="shared" si="8"/>
        <v>17139.876502</v>
      </c>
    </row>
    <row r="23" spans="1:19">
      <c r="A23" s="2"/>
      <c r="O23" s="26" t="s">
        <v>20</v>
      </c>
      <c r="P23" s="4">
        <v>7.4</v>
      </c>
      <c r="Q23" s="27">
        <v>31</v>
      </c>
      <c r="R23" s="27">
        <f t="shared" si="7"/>
        <v>21216.9766</v>
      </c>
      <c r="S23" s="28">
        <f t="shared" si="8"/>
        <v>14851.88362</v>
      </c>
    </row>
    <row r="24" spans="1:19">
      <c r="A24" s="2"/>
      <c r="O24" s="26" t="s">
        <v>21</v>
      </c>
      <c r="P24" s="4">
        <v>5.4</v>
      </c>
      <c r="Q24" s="27">
        <v>30</v>
      </c>
      <c r="R24" s="27">
        <f t="shared" si="7"/>
        <v>14983.218</v>
      </c>
      <c r="S24" s="28">
        <f t="shared" si="8"/>
        <v>10488.2526</v>
      </c>
    </row>
    <row r="25" spans="1:19">
      <c r="A25" s="2"/>
      <c r="O25" s="26" t="s">
        <v>22</v>
      </c>
      <c r="P25" s="4">
        <v>3.93</v>
      </c>
      <c r="Q25" s="27">
        <v>31</v>
      </c>
      <c r="R25" s="27">
        <f t="shared" si="7"/>
        <v>11267.93487</v>
      </c>
      <c r="S25" s="28">
        <f t="shared" si="8"/>
        <v>7887.554409</v>
      </c>
    </row>
    <row r="26" spans="1:19">
      <c r="A26" s="2"/>
      <c r="O26" s="26" t="s">
        <v>23</v>
      </c>
      <c r="P26" s="4">
        <v>2.77</v>
      </c>
      <c r="Q26" s="27">
        <v>30</v>
      </c>
      <c r="R26" s="27">
        <f t="shared" si="7"/>
        <v>7685.8359</v>
      </c>
      <c r="S26" s="28">
        <f t="shared" si="8"/>
        <v>5380.08513</v>
      </c>
    </row>
    <row r="27" spans="1:19">
      <c r="A27" s="2"/>
      <c r="O27" s="29" t="s">
        <v>24</v>
      </c>
      <c r="P27" s="4">
        <v>2.21</v>
      </c>
      <c r="Q27" s="30">
        <v>31</v>
      </c>
      <c r="R27" s="27">
        <f t="shared" si="7"/>
        <v>6336.42139</v>
      </c>
      <c r="S27" s="28">
        <f t="shared" si="8"/>
        <v>4435.494973</v>
      </c>
    </row>
    <row r="28" spans="1:19">
      <c r="A28" s="2"/>
      <c r="P28" s="31"/>
      <c r="Q28" s="32" t="s">
        <v>55</v>
      </c>
      <c r="R28" s="33"/>
      <c r="S28" s="32" t="s">
        <v>60</v>
      </c>
    </row>
    <row r="29" spans="1:19">
      <c r="A29" s="2"/>
    </row>
    <row r="30" spans="1:19">
      <c r="A30" s="2"/>
    </row>
    <row r="31" spans="1:19">
      <c r="A31" s="2"/>
    </row>
    <row r="32" spans="1:19">
      <c r="A32" s="2"/>
    </row>
    <row r="33" spans="1:1">
      <c r="A33" s="2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E1" sqref="E1:E13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3">
        <v>10.7</v>
      </c>
      <c r="C2" s="4">
        <v>78.1</v>
      </c>
      <c r="D2" s="4">
        <v>2.63</v>
      </c>
      <c r="E2" s="4">
        <v>2.38</v>
      </c>
      <c r="F2" s="4">
        <f t="shared" ref="F2:F13" si="0">E2*3.6</f>
        <v>8.568</v>
      </c>
      <c r="G2" s="3">
        <f t="shared" ref="G2:G13" si="1">0.6108*EXP((17.27*B2)/(B2+237.3))</f>
        <v>1.28676488816384</v>
      </c>
      <c r="H2" s="4">
        <f t="shared" ref="H2:H13" si="2">G2*(C2/100)</f>
        <v>1.00496337765596</v>
      </c>
      <c r="I2" s="4">
        <f t="shared" ref="I2:I13" si="3">(4098*G2)/((B2+237.3)^2)</f>
        <v>0.0857369034810002</v>
      </c>
      <c r="J2" s="4">
        <f t="shared" ref="J2:J13" si="4">(0.408*I2*(0.77*F2)+0.067*(900/(B2+273))*D2*(G2-H2))/(I2+0.067*(1+0.34*D2))</f>
        <v>1.82605606578205</v>
      </c>
      <c r="K2" s="4">
        <v>31</v>
      </c>
      <c r="L2" s="4">
        <f t="shared" ref="L2:L13" si="5">92489*(J2/1000)*K2</f>
        <v>5235.59308351159</v>
      </c>
      <c r="M2" s="4">
        <f t="shared" ref="M2:M13" si="6">L2*0.7</f>
        <v>3664.91515845811</v>
      </c>
    </row>
    <row r="3" spans="1:19">
      <c r="A3" s="1" t="s">
        <v>14</v>
      </c>
      <c r="B3" s="3">
        <v>10.9</v>
      </c>
      <c r="C3" s="4">
        <v>76.2</v>
      </c>
      <c r="D3" s="4">
        <v>2.63</v>
      </c>
      <c r="E3" s="4">
        <v>3.2</v>
      </c>
      <c r="F3" s="4">
        <f t="shared" si="0"/>
        <v>11.52</v>
      </c>
      <c r="G3" s="3">
        <f t="shared" si="1"/>
        <v>1.30401375259097</v>
      </c>
      <c r="H3" s="4">
        <f t="shared" si="2"/>
        <v>0.993658479474318</v>
      </c>
      <c r="I3" s="4">
        <f t="shared" si="3"/>
        <v>0.0867462224083959</v>
      </c>
      <c r="J3" s="4">
        <f t="shared" si="4"/>
        <v>2.28080985520666</v>
      </c>
      <c r="K3" s="4">
        <v>28</v>
      </c>
      <c r="L3" s="4">
        <f t="shared" si="5"/>
        <v>5906.59503554986</v>
      </c>
      <c r="M3" s="4">
        <f t="shared" si="6"/>
        <v>4134.6165248849</v>
      </c>
    </row>
    <row r="4" spans="1:19">
      <c r="A4" s="1" t="s">
        <v>15</v>
      </c>
      <c r="B4" s="3">
        <v>13.4</v>
      </c>
      <c r="C4" s="4">
        <v>73.9</v>
      </c>
      <c r="D4" s="4">
        <v>2.46</v>
      </c>
      <c r="E4" s="4">
        <v>4.44</v>
      </c>
      <c r="F4" s="4">
        <f t="shared" si="0"/>
        <v>15.984</v>
      </c>
      <c r="G4" s="3">
        <f t="shared" si="1"/>
        <v>1.53741379335995</v>
      </c>
      <c r="H4" s="4">
        <f t="shared" si="2"/>
        <v>1.136148793293</v>
      </c>
      <c r="I4" s="4">
        <f t="shared" si="3"/>
        <v>0.100243000892898</v>
      </c>
      <c r="J4" s="4">
        <f t="shared" si="4"/>
        <v>3.18523386135002</v>
      </c>
      <c r="K4" s="4">
        <v>31</v>
      </c>
      <c r="L4" s="4">
        <f t="shared" si="5"/>
        <v>9132.57193267446</v>
      </c>
      <c r="M4" s="4">
        <f t="shared" si="6"/>
        <v>6392.80035287212</v>
      </c>
    </row>
    <row r="5" spans="1:19">
      <c r="A5" s="1" t="s">
        <v>16</v>
      </c>
      <c r="B5" s="3">
        <v>16.4</v>
      </c>
      <c r="C5" s="4">
        <v>70.8</v>
      </c>
      <c r="D5" s="4">
        <v>2.07</v>
      </c>
      <c r="E5" s="4">
        <v>5.62</v>
      </c>
      <c r="F5" s="4">
        <f t="shared" si="0"/>
        <v>20.232</v>
      </c>
      <c r="G5" s="3">
        <f t="shared" si="1"/>
        <v>1.86526611272393</v>
      </c>
      <c r="H5" s="4">
        <f t="shared" si="2"/>
        <v>1.32060840780854</v>
      </c>
      <c r="I5" s="4">
        <f t="shared" si="3"/>
        <v>0.118760445989698</v>
      </c>
      <c r="J5" s="4">
        <f t="shared" si="4"/>
        <v>4.24947903022031</v>
      </c>
      <c r="K5" s="4">
        <v>30</v>
      </c>
      <c r="L5" s="4">
        <f t="shared" si="5"/>
        <v>11790.9019807814</v>
      </c>
      <c r="M5" s="4">
        <f t="shared" si="6"/>
        <v>8253.63138654696</v>
      </c>
    </row>
    <row r="6" spans="1:19">
      <c r="A6" s="1" t="s">
        <v>17</v>
      </c>
      <c r="B6" s="3">
        <v>20.2</v>
      </c>
      <c r="C6" s="4">
        <v>63.9</v>
      </c>
      <c r="D6" s="4">
        <v>2.016</v>
      </c>
      <c r="E6" s="4">
        <v>6.46</v>
      </c>
      <c r="F6" s="4">
        <f t="shared" si="0"/>
        <v>23.256</v>
      </c>
      <c r="G6" s="3">
        <f t="shared" si="1"/>
        <v>2.36738769750327</v>
      </c>
      <c r="H6" s="4">
        <f t="shared" si="2"/>
        <v>1.51276073870459</v>
      </c>
      <c r="I6" s="4">
        <f t="shared" si="3"/>
        <v>0.146314333631722</v>
      </c>
      <c r="J6" s="4">
        <f t="shared" si="4"/>
        <v>5.49041282952132</v>
      </c>
      <c r="K6" s="4">
        <v>31</v>
      </c>
      <c r="L6" s="4">
        <f t="shared" si="5"/>
        <v>15741.8865578775</v>
      </c>
      <c r="M6" s="4">
        <f t="shared" si="6"/>
        <v>11019.3205905143</v>
      </c>
    </row>
    <row r="7" spans="1:19">
      <c r="A7" s="1" t="s">
        <v>18</v>
      </c>
      <c r="B7" s="3">
        <v>25.1</v>
      </c>
      <c r="C7" s="4">
        <v>54.7</v>
      </c>
      <c r="D7" s="4">
        <v>1.98</v>
      </c>
      <c r="E7" s="4">
        <v>7.44</v>
      </c>
      <c r="F7" s="4">
        <f t="shared" si="0"/>
        <v>26.784</v>
      </c>
      <c r="G7" s="3">
        <f t="shared" si="1"/>
        <v>3.18669576220502</v>
      </c>
      <c r="H7" s="4">
        <f t="shared" si="2"/>
        <v>1.74312258192615</v>
      </c>
      <c r="I7" s="4">
        <f t="shared" si="3"/>
        <v>0.189663995597571</v>
      </c>
      <c r="J7" s="4">
        <f t="shared" si="4"/>
        <v>7.20451657199203</v>
      </c>
      <c r="K7" s="4">
        <v>30</v>
      </c>
      <c r="L7" s="4">
        <f t="shared" si="5"/>
        <v>19990.1559968091</v>
      </c>
      <c r="M7" s="4">
        <f t="shared" si="6"/>
        <v>13993.1091977664</v>
      </c>
    </row>
    <row r="8" spans="1:19">
      <c r="A8" s="1" t="s">
        <v>19</v>
      </c>
      <c r="B8" s="3">
        <v>28.2</v>
      </c>
      <c r="C8" s="4">
        <v>52.3</v>
      </c>
      <c r="D8" s="4">
        <v>2.05</v>
      </c>
      <c r="E8" s="4">
        <v>7.51</v>
      </c>
      <c r="F8" s="4">
        <f t="shared" si="0"/>
        <v>27.036</v>
      </c>
      <c r="G8" s="3">
        <f t="shared" si="1"/>
        <v>3.82417201805405</v>
      </c>
      <c r="H8" s="4">
        <f t="shared" si="2"/>
        <v>2.00004196544227</v>
      </c>
      <c r="I8" s="4">
        <f t="shared" si="3"/>
        <v>0.222320915729275</v>
      </c>
      <c r="J8" s="4">
        <f t="shared" si="4"/>
        <v>7.84759967463029</v>
      </c>
      <c r="K8" s="4">
        <v>31</v>
      </c>
      <c r="L8" s="4">
        <f t="shared" si="5"/>
        <v>22500.3160355133</v>
      </c>
      <c r="M8" s="4">
        <f t="shared" si="6"/>
        <v>15750.2212248593</v>
      </c>
    </row>
    <row r="9" spans="1:19">
      <c r="A9" s="1" t="s">
        <v>20</v>
      </c>
      <c r="B9" s="3">
        <v>28</v>
      </c>
      <c r="C9" s="4">
        <v>55.1</v>
      </c>
      <c r="D9" s="4">
        <v>1.82</v>
      </c>
      <c r="E9" s="4">
        <v>6.68</v>
      </c>
      <c r="F9" s="4">
        <f t="shared" si="0"/>
        <v>24.048</v>
      </c>
      <c r="G9" s="3">
        <f t="shared" si="1"/>
        <v>3.77993036399526</v>
      </c>
      <c r="H9" s="4">
        <f t="shared" si="2"/>
        <v>2.08274163056139</v>
      </c>
      <c r="I9" s="4">
        <f t="shared" si="3"/>
        <v>0.220080342470189</v>
      </c>
      <c r="J9" s="4">
        <f t="shared" si="4"/>
        <v>6.94433742048659</v>
      </c>
      <c r="K9" s="4">
        <v>31</v>
      </c>
      <c r="L9" s="4">
        <f t="shared" si="5"/>
        <v>19910.5195341849</v>
      </c>
      <c r="M9" s="4">
        <f t="shared" si="6"/>
        <v>13937.3636739294</v>
      </c>
    </row>
    <row r="10" spans="1:19">
      <c r="A10" s="1" t="s">
        <v>21</v>
      </c>
      <c r="B10" s="3">
        <v>24.3</v>
      </c>
      <c r="C10" s="4">
        <v>66.2</v>
      </c>
      <c r="D10" s="4">
        <v>1.81</v>
      </c>
      <c r="E10" s="4">
        <v>5.14</v>
      </c>
      <c r="F10" s="4">
        <f t="shared" si="0"/>
        <v>18.504</v>
      </c>
      <c r="G10" s="3">
        <f t="shared" si="1"/>
        <v>3.03807171522154</v>
      </c>
      <c r="H10" s="4">
        <f t="shared" si="2"/>
        <v>2.01120347547666</v>
      </c>
      <c r="I10" s="4">
        <f t="shared" si="3"/>
        <v>0.181925884947282</v>
      </c>
      <c r="J10" s="4">
        <f t="shared" si="4"/>
        <v>4.94404384219447</v>
      </c>
      <c r="K10" s="4">
        <v>30</v>
      </c>
      <c r="L10" s="4">
        <f t="shared" si="5"/>
        <v>13718.0901276217</v>
      </c>
      <c r="M10" s="4">
        <f t="shared" si="6"/>
        <v>9602.6630893352</v>
      </c>
    </row>
    <row r="11" spans="1:19">
      <c r="A11" s="1" t="s">
        <v>22</v>
      </c>
      <c r="B11" s="3">
        <v>20.8</v>
      </c>
      <c r="C11" s="4">
        <v>70.1</v>
      </c>
      <c r="D11" s="4">
        <v>1.66</v>
      </c>
      <c r="E11" s="4">
        <v>3.84</v>
      </c>
      <c r="F11" s="4">
        <f t="shared" si="0"/>
        <v>13.824</v>
      </c>
      <c r="G11" s="3">
        <f t="shared" si="1"/>
        <v>2.45661632607162</v>
      </c>
      <c r="H11" s="4">
        <f t="shared" si="2"/>
        <v>1.7220880445762</v>
      </c>
      <c r="I11" s="4">
        <f t="shared" si="3"/>
        <v>0.151123943836009</v>
      </c>
      <c r="J11" s="4">
        <f t="shared" si="4"/>
        <v>3.54216804929689</v>
      </c>
      <c r="K11" s="4">
        <v>31</v>
      </c>
      <c r="L11" s="4">
        <f t="shared" si="5"/>
        <v>10155.959002054</v>
      </c>
      <c r="M11" s="4">
        <f t="shared" si="6"/>
        <v>7109.17130143782</v>
      </c>
    </row>
    <row r="12" spans="1:19">
      <c r="A12" s="1" t="s">
        <v>23</v>
      </c>
      <c r="B12" s="3">
        <v>15.5</v>
      </c>
      <c r="C12" s="4">
        <v>73.8</v>
      </c>
      <c r="D12" s="4">
        <v>2.14</v>
      </c>
      <c r="E12" s="4">
        <v>2.58</v>
      </c>
      <c r="F12" s="4">
        <f t="shared" si="0"/>
        <v>9.288</v>
      </c>
      <c r="G12" s="3">
        <f t="shared" si="1"/>
        <v>1.76102289812009</v>
      </c>
      <c r="H12" s="4">
        <f t="shared" si="2"/>
        <v>1.29963489881263</v>
      </c>
      <c r="I12" s="4">
        <f t="shared" si="3"/>
        <v>0.112923106718927</v>
      </c>
      <c r="J12" s="4">
        <f t="shared" si="4"/>
        <v>2.34340903583886</v>
      </c>
      <c r="K12" s="4">
        <v>30</v>
      </c>
      <c r="L12" s="4">
        <f t="shared" si="5"/>
        <v>6502.18674947101</v>
      </c>
      <c r="M12" s="4">
        <f t="shared" si="6"/>
        <v>4551.5307246297</v>
      </c>
    </row>
    <row r="13" spans="1:19">
      <c r="A13" s="1" t="s">
        <v>24</v>
      </c>
      <c r="B13" s="3">
        <v>11.8</v>
      </c>
      <c r="C13" s="4">
        <v>78</v>
      </c>
      <c r="D13" s="4">
        <v>2.47</v>
      </c>
      <c r="E13" s="4">
        <v>2.07</v>
      </c>
      <c r="F13" s="4">
        <f t="shared" si="0"/>
        <v>7.452</v>
      </c>
      <c r="G13" s="3">
        <f t="shared" si="1"/>
        <v>1.38417378318429</v>
      </c>
      <c r="H13" s="4">
        <f t="shared" si="2"/>
        <v>1.07965555088375</v>
      </c>
      <c r="I13" s="4">
        <f t="shared" si="3"/>
        <v>0.0914145063293973</v>
      </c>
      <c r="J13" s="4">
        <f t="shared" si="4"/>
        <v>1.73869675526332</v>
      </c>
      <c r="K13" s="4">
        <v>31</v>
      </c>
      <c r="L13" s="4">
        <f t="shared" si="5"/>
        <v>4985.12005012402</v>
      </c>
      <c r="M13" s="4">
        <f t="shared" si="6"/>
        <v>3489.58403508682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"/>
      <c r="L14" s="18" t="s">
        <v>59</v>
      </c>
      <c r="M14" s="19">
        <f>SUM(M2:M13)</f>
        <v>101898.927260321</v>
      </c>
      <c r="R14" s="20" t="s">
        <v>26</v>
      </c>
      <c r="S14" s="21"/>
    </row>
    <row r="15" spans="1:19">
      <c r="L15">
        <f>L2+L3+L4+L5+L6+L7+L8+L9+L10+L11+L12+L13</f>
        <v>145569.896086173</v>
      </c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4">
        <v>2.33</v>
      </c>
      <c r="Q16" s="27">
        <v>31</v>
      </c>
      <c r="R16" s="27">
        <f t="shared" ref="R16:R27" si="7">92489*(P16/1000)*Q16</f>
        <v>6680.48047</v>
      </c>
      <c r="S16" s="28">
        <f t="shared" ref="S16:S27" si="8">0.7*R16</f>
        <v>4676.336329</v>
      </c>
    </row>
    <row r="17" spans="1:19">
      <c r="O17" s="26" t="s">
        <v>14</v>
      </c>
      <c r="P17" s="4">
        <v>2.99</v>
      </c>
      <c r="Q17" s="27">
        <v>28</v>
      </c>
      <c r="R17" s="27">
        <f t="shared" si="7"/>
        <v>7743.17908</v>
      </c>
      <c r="S17" s="28">
        <f t="shared" si="8"/>
        <v>5420.225356</v>
      </c>
    </row>
    <row r="18" spans="1:19">
      <c r="O18" s="26" t="s">
        <v>15</v>
      </c>
      <c r="P18" s="4">
        <v>4.01</v>
      </c>
      <c r="Q18" s="27">
        <v>31</v>
      </c>
      <c r="R18" s="27">
        <f t="shared" si="7"/>
        <v>11497.30759</v>
      </c>
      <c r="S18" s="28">
        <f t="shared" si="8"/>
        <v>8048.115313</v>
      </c>
    </row>
    <row r="19" spans="1:19">
      <c r="O19" s="26" t="s">
        <v>16</v>
      </c>
      <c r="P19" s="4">
        <v>5.17</v>
      </c>
      <c r="Q19" s="27">
        <v>30</v>
      </c>
      <c r="R19" s="27">
        <f t="shared" si="7"/>
        <v>14345.0439</v>
      </c>
      <c r="S19" s="28">
        <f t="shared" si="8"/>
        <v>10041.53073</v>
      </c>
    </row>
    <row r="20" spans="1:19">
      <c r="O20" s="26" t="s">
        <v>17</v>
      </c>
      <c r="P20" s="4">
        <v>6.59</v>
      </c>
      <c r="Q20" s="27">
        <v>31</v>
      </c>
      <c r="R20" s="27">
        <f t="shared" si="7"/>
        <v>18894.57781</v>
      </c>
      <c r="S20" s="28">
        <f t="shared" si="8"/>
        <v>13226.204467</v>
      </c>
    </row>
    <row r="21" spans="1:19">
      <c r="A21" s="2"/>
      <c r="B21" s="2"/>
      <c r="C21" s="2"/>
      <c r="O21" s="26" t="s">
        <v>18</v>
      </c>
      <c r="P21" s="4">
        <v>8.06</v>
      </c>
      <c r="Q21" s="27">
        <v>30</v>
      </c>
      <c r="R21" s="27">
        <f t="shared" si="7"/>
        <v>22363.8402</v>
      </c>
      <c r="S21" s="28">
        <f t="shared" si="8"/>
        <v>15654.68814</v>
      </c>
    </row>
    <row r="22" spans="1:19">
      <c r="A22" s="2"/>
      <c r="O22" s="26" t="s">
        <v>19</v>
      </c>
      <c r="P22" s="4">
        <v>8.54</v>
      </c>
      <c r="Q22" s="27">
        <v>31</v>
      </c>
      <c r="R22" s="27">
        <f t="shared" si="7"/>
        <v>24485.53786</v>
      </c>
      <c r="S22" s="28">
        <f t="shared" si="8"/>
        <v>17139.876502</v>
      </c>
    </row>
    <row r="23" spans="1:19">
      <c r="A23" s="2"/>
      <c r="O23" s="26" t="s">
        <v>20</v>
      </c>
      <c r="P23" s="4">
        <v>7.4</v>
      </c>
      <c r="Q23" s="27">
        <v>31</v>
      </c>
      <c r="R23" s="27">
        <f t="shared" si="7"/>
        <v>21216.9766</v>
      </c>
      <c r="S23" s="28">
        <f t="shared" si="8"/>
        <v>14851.88362</v>
      </c>
    </row>
    <row r="24" spans="1:19">
      <c r="A24" s="2"/>
      <c r="O24" s="26" t="s">
        <v>21</v>
      </c>
      <c r="P24" s="4">
        <v>5.4</v>
      </c>
      <c r="Q24" s="27">
        <v>30</v>
      </c>
      <c r="R24" s="27">
        <f t="shared" si="7"/>
        <v>14983.218</v>
      </c>
      <c r="S24" s="28">
        <f t="shared" si="8"/>
        <v>10488.2526</v>
      </c>
    </row>
    <row r="25" spans="1:19">
      <c r="A25" s="2"/>
      <c r="O25" s="26" t="s">
        <v>22</v>
      </c>
      <c r="P25" s="4">
        <v>3.93</v>
      </c>
      <c r="Q25" s="27">
        <v>31</v>
      </c>
      <c r="R25" s="27">
        <f t="shared" si="7"/>
        <v>11267.93487</v>
      </c>
      <c r="S25" s="28">
        <f t="shared" si="8"/>
        <v>7887.554409</v>
      </c>
    </row>
    <row r="26" spans="1:19">
      <c r="A26" s="2"/>
      <c r="O26" s="26" t="s">
        <v>23</v>
      </c>
      <c r="P26" s="4">
        <v>2.77</v>
      </c>
      <c r="Q26" s="27">
        <v>30</v>
      </c>
      <c r="R26" s="27">
        <f t="shared" si="7"/>
        <v>7685.8359</v>
      </c>
      <c r="S26" s="28">
        <f t="shared" si="8"/>
        <v>5380.08513</v>
      </c>
    </row>
    <row r="27" spans="1:19">
      <c r="A27" s="2"/>
      <c r="O27" s="29" t="s">
        <v>24</v>
      </c>
      <c r="P27" s="4">
        <v>2.21</v>
      </c>
      <c r="Q27" s="30">
        <v>31</v>
      </c>
      <c r="R27" s="27">
        <f t="shared" si="7"/>
        <v>6336.42139</v>
      </c>
      <c r="S27" s="28">
        <f t="shared" si="8"/>
        <v>4435.494973</v>
      </c>
    </row>
    <row r="28" spans="1:19">
      <c r="A28" s="2"/>
      <c r="P28" s="31"/>
      <c r="Q28" s="32" t="s">
        <v>55</v>
      </c>
      <c r="R28" s="33"/>
      <c r="S28" s="32" t="s">
        <v>60</v>
      </c>
    </row>
    <row r="29" spans="1:19">
      <c r="A29" s="2"/>
    </row>
    <row r="30" spans="1:19">
      <c r="A30" s="2"/>
    </row>
    <row r="31" spans="1:19">
      <c r="A31" s="2"/>
    </row>
    <row r="32" spans="1:19">
      <c r="A32" s="2"/>
    </row>
    <row r="33" spans="1:1">
      <c r="A33" s="2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D2" sqref="D2:D13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3">
        <v>11.5</v>
      </c>
      <c r="C2" s="4">
        <v>78.2</v>
      </c>
      <c r="D2" s="4">
        <v>3.98</v>
      </c>
      <c r="E2" s="4">
        <v>2.12</v>
      </c>
      <c r="F2" s="4">
        <f t="shared" ref="F2:F13" si="0">E2*3.6</f>
        <v>7.632</v>
      </c>
      <c r="G2" s="3">
        <f t="shared" ref="G2:G13" si="1">0.6108*EXP((17.27*B2)/(B2+237.3))</f>
        <v>1.35698578037907</v>
      </c>
      <c r="H2" s="4">
        <f t="shared" ref="H2:H13" si="2">G2*(C2/100)</f>
        <v>1.06116288025643</v>
      </c>
      <c r="I2" s="4">
        <f t="shared" ref="I2:I13" si="3">(4098*G2)/((B2+237.3)^2)</f>
        <v>0.0898351916852566</v>
      </c>
      <c r="J2" s="4">
        <f t="shared" ref="J2:J13" si="4">(0.408*I2*(0.77*F2)+0.067*(900/(B2+273))*D2*(G2-H2))/(I2+0.067*(1+0.34*D2))</f>
        <v>1.87855121060121</v>
      </c>
      <c r="K2" s="4">
        <v>31</v>
      </c>
      <c r="L2" s="4">
        <f t="shared" ref="L2:L13" si="5">92489*(J2/1000)*K2</f>
        <v>5386.10501043614</v>
      </c>
      <c r="M2" s="4">
        <f t="shared" ref="M2:M13" si="6">L2*0.7</f>
        <v>3770.2735073053</v>
      </c>
    </row>
    <row r="3" spans="1:19">
      <c r="A3" s="1" t="s">
        <v>14</v>
      </c>
      <c r="B3" s="3">
        <v>11.6</v>
      </c>
      <c r="C3" s="4">
        <v>77.1</v>
      </c>
      <c r="D3" s="4">
        <v>4.07</v>
      </c>
      <c r="E3" s="4">
        <v>2.99</v>
      </c>
      <c r="F3" s="4">
        <f t="shared" si="0"/>
        <v>10.764</v>
      </c>
      <c r="G3" s="3">
        <f t="shared" si="1"/>
        <v>1.36599584557115</v>
      </c>
      <c r="H3" s="4">
        <f t="shared" si="2"/>
        <v>1.05318279693535</v>
      </c>
      <c r="I3" s="4">
        <f t="shared" si="3"/>
        <v>0.090359025677635</v>
      </c>
      <c r="J3" s="4">
        <f t="shared" si="4"/>
        <v>2.30056197497134</v>
      </c>
      <c r="K3" s="4">
        <v>28</v>
      </c>
      <c r="L3" s="4">
        <f t="shared" si="5"/>
        <v>5957.74694208749</v>
      </c>
      <c r="M3" s="4">
        <f t="shared" si="6"/>
        <v>4170.42285946124</v>
      </c>
    </row>
    <row r="4" spans="1:19">
      <c r="A4" s="1" t="s">
        <v>15</v>
      </c>
      <c r="B4" s="3">
        <v>13.9</v>
      </c>
      <c r="C4" s="4">
        <v>74.2</v>
      </c>
      <c r="D4" s="4">
        <v>4.05</v>
      </c>
      <c r="E4" s="4">
        <v>4.24</v>
      </c>
      <c r="F4" s="4">
        <f t="shared" si="0"/>
        <v>15.264</v>
      </c>
      <c r="G4" s="3">
        <f t="shared" si="1"/>
        <v>1.58826034462015</v>
      </c>
      <c r="H4" s="4">
        <f t="shared" si="2"/>
        <v>1.17848917570815</v>
      </c>
      <c r="I4" s="4">
        <f t="shared" si="3"/>
        <v>0.103146471653474</v>
      </c>
      <c r="J4" s="4">
        <f t="shared" si="4"/>
        <v>3.21421502081774</v>
      </c>
      <c r="K4" s="4">
        <v>31</v>
      </c>
      <c r="L4" s="4">
        <f t="shared" si="5"/>
        <v>9215.66552487276</v>
      </c>
      <c r="M4" s="4">
        <f t="shared" si="6"/>
        <v>6450.96586741093</v>
      </c>
    </row>
    <row r="5" spans="1:19">
      <c r="A5" s="1" t="s">
        <v>16</v>
      </c>
      <c r="B5" s="3">
        <v>16.6</v>
      </c>
      <c r="C5" s="4">
        <v>72.3</v>
      </c>
      <c r="D5" s="4">
        <v>3.76</v>
      </c>
      <c r="E5" s="4">
        <v>5.42</v>
      </c>
      <c r="F5" s="4">
        <f t="shared" si="0"/>
        <v>19.512</v>
      </c>
      <c r="G5" s="3">
        <f t="shared" si="1"/>
        <v>1.88915212764153</v>
      </c>
      <c r="H5" s="4">
        <f t="shared" si="2"/>
        <v>1.36585698828482</v>
      </c>
      <c r="I5" s="4">
        <f t="shared" si="3"/>
        <v>0.120091835876669</v>
      </c>
      <c r="J5" s="4">
        <f t="shared" si="4"/>
        <v>4.20113775747552</v>
      </c>
      <c r="K5" s="4">
        <v>30</v>
      </c>
      <c r="L5" s="4">
        <f t="shared" si="5"/>
        <v>11656.7709015346</v>
      </c>
      <c r="M5" s="4">
        <f t="shared" si="6"/>
        <v>8159.73963107422</v>
      </c>
    </row>
    <row r="6" spans="1:19">
      <c r="A6" s="1" t="s">
        <v>17</v>
      </c>
      <c r="B6" s="3">
        <v>19.8</v>
      </c>
      <c r="C6" s="4">
        <v>68</v>
      </c>
      <c r="D6" s="4">
        <v>3.72</v>
      </c>
      <c r="E6" s="4">
        <v>6.46</v>
      </c>
      <c r="F6" s="4">
        <f t="shared" si="0"/>
        <v>23.256</v>
      </c>
      <c r="G6" s="3">
        <f t="shared" si="1"/>
        <v>2.30948824949078</v>
      </c>
      <c r="H6" s="4">
        <f t="shared" si="2"/>
        <v>1.57045200965373</v>
      </c>
      <c r="I6" s="4">
        <f t="shared" si="3"/>
        <v>0.143180395498503</v>
      </c>
      <c r="J6" s="4">
        <f t="shared" si="4"/>
        <v>5.46677267824536</v>
      </c>
      <c r="K6" s="4">
        <v>31</v>
      </c>
      <c r="L6" s="4">
        <f t="shared" si="5"/>
        <v>15674.1064853853</v>
      </c>
      <c r="M6" s="4">
        <f t="shared" si="6"/>
        <v>10971.8745397697</v>
      </c>
    </row>
    <row r="7" spans="1:19">
      <c r="A7" s="1" t="s">
        <v>18</v>
      </c>
      <c r="B7" s="3">
        <v>24</v>
      </c>
      <c r="C7" s="4">
        <v>63.2</v>
      </c>
      <c r="D7" s="4">
        <v>3.31</v>
      </c>
      <c r="E7" s="4">
        <v>7.47</v>
      </c>
      <c r="F7" s="4">
        <f t="shared" si="0"/>
        <v>26.892</v>
      </c>
      <c r="G7" s="3">
        <f t="shared" si="1"/>
        <v>2.98391747716556</v>
      </c>
      <c r="H7" s="4">
        <f t="shared" si="2"/>
        <v>1.88583584556863</v>
      </c>
      <c r="I7" s="4">
        <f t="shared" si="3"/>
        <v>0.179093549026402</v>
      </c>
      <c r="J7" s="4">
        <f t="shared" si="4"/>
        <v>7.00164533035205</v>
      </c>
      <c r="K7" s="4">
        <v>30</v>
      </c>
      <c r="L7" s="4">
        <f t="shared" si="5"/>
        <v>19427.2552487679</v>
      </c>
      <c r="M7" s="4">
        <f t="shared" si="6"/>
        <v>13599.0786741376</v>
      </c>
    </row>
    <row r="8" spans="1:19">
      <c r="A8" s="1" t="s">
        <v>19</v>
      </c>
      <c r="B8" s="3">
        <v>26.9</v>
      </c>
      <c r="C8" s="4">
        <v>61.2</v>
      </c>
      <c r="D8" s="4">
        <v>3.32</v>
      </c>
      <c r="E8" s="4">
        <v>7.5</v>
      </c>
      <c r="F8" s="4">
        <f t="shared" si="0"/>
        <v>27</v>
      </c>
      <c r="G8" s="3">
        <f t="shared" si="1"/>
        <v>3.54447667080903</v>
      </c>
      <c r="H8" s="4">
        <f t="shared" si="2"/>
        <v>2.16921972253513</v>
      </c>
      <c r="I8" s="4">
        <f t="shared" si="3"/>
        <v>0.208093468820724</v>
      </c>
      <c r="J8" s="4">
        <f t="shared" si="4"/>
        <v>7.65036038932861</v>
      </c>
      <c r="K8" s="4">
        <v>31</v>
      </c>
      <c r="L8" s="4">
        <f t="shared" si="5"/>
        <v>21934.799643507</v>
      </c>
      <c r="M8" s="4">
        <f t="shared" si="6"/>
        <v>15354.3597504549</v>
      </c>
    </row>
    <row r="9" spans="1:19">
      <c r="A9" s="1" t="s">
        <v>20</v>
      </c>
      <c r="B9" s="3">
        <v>27</v>
      </c>
      <c r="C9" s="4">
        <v>63.6</v>
      </c>
      <c r="D9" s="4">
        <v>3.11</v>
      </c>
      <c r="E9" s="4">
        <v>6.54</v>
      </c>
      <c r="F9" s="4">
        <f t="shared" si="0"/>
        <v>23.544</v>
      </c>
      <c r="G9" s="3">
        <f t="shared" si="1"/>
        <v>3.56534017581085</v>
      </c>
      <c r="H9" s="4">
        <f t="shared" si="2"/>
        <v>2.2675563518157</v>
      </c>
      <c r="I9" s="4">
        <f t="shared" si="3"/>
        <v>0.209159984425809</v>
      </c>
      <c r="J9" s="4">
        <f t="shared" si="4"/>
        <v>6.79621765836134</v>
      </c>
      <c r="K9" s="4">
        <v>31</v>
      </c>
      <c r="L9" s="4">
        <f t="shared" si="5"/>
        <v>19485.8366251296</v>
      </c>
      <c r="M9" s="4">
        <f t="shared" si="6"/>
        <v>13640.0856375907</v>
      </c>
    </row>
    <row r="10" spans="1:19">
      <c r="A10" s="1" t="s">
        <v>21</v>
      </c>
      <c r="B10" s="3">
        <v>24</v>
      </c>
      <c r="C10" s="4">
        <v>70.7</v>
      </c>
      <c r="D10" s="4">
        <v>3.01</v>
      </c>
      <c r="E10" s="4">
        <v>4.93</v>
      </c>
      <c r="F10" s="4">
        <f t="shared" si="0"/>
        <v>17.748</v>
      </c>
      <c r="G10" s="3">
        <f t="shared" si="1"/>
        <v>2.98391747716556</v>
      </c>
      <c r="H10" s="4">
        <f t="shared" si="2"/>
        <v>2.10962965635605</v>
      </c>
      <c r="I10" s="4">
        <f t="shared" si="3"/>
        <v>0.179093549026402</v>
      </c>
      <c r="J10" s="4">
        <f t="shared" si="4"/>
        <v>4.87149066975641</v>
      </c>
      <c r="K10" s="4">
        <v>30</v>
      </c>
      <c r="L10" s="4">
        <f t="shared" si="5"/>
        <v>13516.779016653</v>
      </c>
      <c r="M10" s="4">
        <f t="shared" si="6"/>
        <v>9461.74531165711</v>
      </c>
    </row>
    <row r="11" spans="1:19">
      <c r="A11" s="1" t="s">
        <v>22</v>
      </c>
      <c r="B11" s="3">
        <v>20.9</v>
      </c>
      <c r="C11" s="4">
        <v>72.4</v>
      </c>
      <c r="D11" s="4">
        <v>2.95</v>
      </c>
      <c r="E11" s="4">
        <v>3.63</v>
      </c>
      <c r="F11" s="4">
        <f t="shared" si="0"/>
        <v>13.068</v>
      </c>
      <c r="G11" s="3">
        <f t="shared" si="1"/>
        <v>2.47177004462264</v>
      </c>
      <c r="H11" s="4">
        <f t="shared" si="2"/>
        <v>1.78956151230679</v>
      </c>
      <c r="I11" s="4">
        <f t="shared" si="3"/>
        <v>0.151938397972731</v>
      </c>
      <c r="J11" s="4">
        <f t="shared" si="4"/>
        <v>3.62300975038335</v>
      </c>
      <c r="K11" s="4">
        <v>31</v>
      </c>
      <c r="L11" s="4">
        <f t="shared" si="5"/>
        <v>10387.7450128994</v>
      </c>
      <c r="M11" s="4">
        <f t="shared" si="6"/>
        <v>7271.42150902956</v>
      </c>
    </row>
    <row r="12" spans="1:19">
      <c r="A12" s="1" t="s">
        <v>23</v>
      </c>
      <c r="B12" s="3">
        <v>16.1</v>
      </c>
      <c r="C12" s="4">
        <v>74.4</v>
      </c>
      <c r="D12" s="4">
        <v>3.42</v>
      </c>
      <c r="E12" s="4">
        <v>2.34</v>
      </c>
      <c r="F12" s="4">
        <f t="shared" si="0"/>
        <v>8.424</v>
      </c>
      <c r="G12" s="3">
        <f t="shared" si="1"/>
        <v>1.82993324442649</v>
      </c>
      <c r="H12" s="4">
        <f t="shared" si="2"/>
        <v>1.36147033385331</v>
      </c>
      <c r="I12" s="4">
        <f t="shared" si="3"/>
        <v>0.116786859494766</v>
      </c>
      <c r="J12" s="4">
        <f t="shared" si="4"/>
        <v>2.45800735605546</v>
      </c>
      <c r="K12" s="4">
        <v>30</v>
      </c>
      <c r="L12" s="4">
        <f t="shared" si="5"/>
        <v>6820.15927062641</v>
      </c>
      <c r="M12" s="4">
        <f t="shared" si="6"/>
        <v>4774.11148943849</v>
      </c>
    </row>
    <row r="13" spans="1:19">
      <c r="A13" s="1" t="s">
        <v>24</v>
      </c>
      <c r="B13" s="3">
        <v>12.7</v>
      </c>
      <c r="C13" s="4">
        <v>77.8</v>
      </c>
      <c r="D13" s="4">
        <v>3.78</v>
      </c>
      <c r="E13" s="4">
        <v>1.84</v>
      </c>
      <c r="F13" s="4">
        <f t="shared" si="0"/>
        <v>6.624</v>
      </c>
      <c r="G13" s="3">
        <f t="shared" si="1"/>
        <v>1.46863044193649</v>
      </c>
      <c r="H13" s="4">
        <f t="shared" si="2"/>
        <v>1.14259448382659</v>
      </c>
      <c r="I13" s="4">
        <f t="shared" si="3"/>
        <v>0.0962951608168917</v>
      </c>
      <c r="J13" s="4">
        <f t="shared" si="4"/>
        <v>1.84642197388214</v>
      </c>
      <c r="K13" s="4">
        <v>31</v>
      </c>
      <c r="L13" s="4">
        <f t="shared" si="5"/>
        <v>5293.98538021394</v>
      </c>
      <c r="M13" s="4">
        <f t="shared" si="6"/>
        <v>3705.78976614975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"/>
      <c r="L14" s="18" t="s">
        <v>59</v>
      </c>
      <c r="M14" s="19">
        <f>SUM(M2:M13)</f>
        <v>101329.86854348</v>
      </c>
      <c r="R14" s="20" t="s">
        <v>26</v>
      </c>
      <c r="S14" s="21"/>
    </row>
    <row r="15" spans="1:19">
      <c r="L15">
        <f>L2+L3+L4+L5+L6+L7+L8+L9+L10+L11+L12+L13</f>
        <v>144756.955062114</v>
      </c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4">
        <v>2.33</v>
      </c>
      <c r="Q16" s="27">
        <v>31</v>
      </c>
      <c r="R16" s="27">
        <f t="shared" ref="R16:R27" si="7">92489*(P16/1000)*Q16</f>
        <v>6680.48047</v>
      </c>
      <c r="S16" s="28">
        <f t="shared" ref="S16:S27" si="8">0.7*R16</f>
        <v>4676.336329</v>
      </c>
    </row>
    <row r="17" spans="1:19">
      <c r="O17" s="26" t="s">
        <v>14</v>
      </c>
      <c r="P17" s="4">
        <v>2.99</v>
      </c>
      <c r="Q17" s="27">
        <v>28</v>
      </c>
      <c r="R17" s="27">
        <f t="shared" si="7"/>
        <v>7743.17908</v>
      </c>
      <c r="S17" s="28">
        <f t="shared" si="8"/>
        <v>5420.225356</v>
      </c>
    </row>
    <row r="18" spans="1:19">
      <c r="O18" s="26" t="s">
        <v>15</v>
      </c>
      <c r="P18" s="4">
        <v>4.01</v>
      </c>
      <c r="Q18" s="27">
        <v>31</v>
      </c>
      <c r="R18" s="27">
        <f t="shared" si="7"/>
        <v>11497.30759</v>
      </c>
      <c r="S18" s="28">
        <f t="shared" si="8"/>
        <v>8048.115313</v>
      </c>
    </row>
    <row r="19" spans="1:19">
      <c r="O19" s="26" t="s">
        <v>16</v>
      </c>
      <c r="P19" s="4">
        <v>5.17</v>
      </c>
      <c r="Q19" s="27">
        <v>30</v>
      </c>
      <c r="R19" s="27">
        <f t="shared" si="7"/>
        <v>14345.0439</v>
      </c>
      <c r="S19" s="28">
        <f t="shared" si="8"/>
        <v>10041.53073</v>
      </c>
    </row>
    <row r="20" spans="1:19">
      <c r="O20" s="26" t="s">
        <v>17</v>
      </c>
      <c r="P20" s="4">
        <v>6.59</v>
      </c>
      <c r="Q20" s="27">
        <v>31</v>
      </c>
      <c r="R20" s="27">
        <f t="shared" si="7"/>
        <v>18894.57781</v>
      </c>
      <c r="S20" s="28">
        <f t="shared" si="8"/>
        <v>13226.204467</v>
      </c>
    </row>
    <row r="21" spans="1:19">
      <c r="A21" s="2"/>
      <c r="B21" s="2"/>
      <c r="C21" s="2"/>
      <c r="O21" s="26" t="s">
        <v>18</v>
      </c>
      <c r="P21" s="4">
        <v>8.06</v>
      </c>
      <c r="Q21" s="27">
        <v>30</v>
      </c>
      <c r="R21" s="27">
        <f t="shared" si="7"/>
        <v>22363.8402</v>
      </c>
      <c r="S21" s="28">
        <f t="shared" si="8"/>
        <v>15654.68814</v>
      </c>
    </row>
    <row r="22" spans="1:19">
      <c r="A22" s="2"/>
      <c r="O22" s="26" t="s">
        <v>19</v>
      </c>
      <c r="P22" s="4">
        <v>8.54</v>
      </c>
      <c r="Q22" s="27">
        <v>31</v>
      </c>
      <c r="R22" s="27">
        <f t="shared" si="7"/>
        <v>24485.53786</v>
      </c>
      <c r="S22" s="28">
        <f t="shared" si="8"/>
        <v>17139.876502</v>
      </c>
    </row>
    <row r="23" spans="1:19">
      <c r="A23" s="2"/>
      <c r="O23" s="26" t="s">
        <v>20</v>
      </c>
      <c r="P23" s="4">
        <v>7.4</v>
      </c>
      <c r="Q23" s="27">
        <v>31</v>
      </c>
      <c r="R23" s="27">
        <f t="shared" si="7"/>
        <v>21216.9766</v>
      </c>
      <c r="S23" s="28">
        <f t="shared" si="8"/>
        <v>14851.88362</v>
      </c>
    </row>
    <row r="24" spans="1:19">
      <c r="A24" s="2"/>
      <c r="O24" s="26" t="s">
        <v>21</v>
      </c>
      <c r="P24" s="4">
        <v>5.4</v>
      </c>
      <c r="Q24" s="27">
        <v>30</v>
      </c>
      <c r="R24" s="27">
        <f t="shared" si="7"/>
        <v>14983.218</v>
      </c>
      <c r="S24" s="28">
        <f t="shared" si="8"/>
        <v>10488.2526</v>
      </c>
    </row>
    <row r="25" spans="1:19">
      <c r="A25" s="2"/>
      <c r="O25" s="26" t="s">
        <v>22</v>
      </c>
      <c r="P25" s="4">
        <v>3.93</v>
      </c>
      <c r="Q25" s="27">
        <v>31</v>
      </c>
      <c r="R25" s="27">
        <f t="shared" si="7"/>
        <v>11267.93487</v>
      </c>
      <c r="S25" s="28">
        <f t="shared" si="8"/>
        <v>7887.554409</v>
      </c>
    </row>
    <row r="26" spans="1:19">
      <c r="A26" s="2"/>
      <c r="O26" s="26" t="s">
        <v>23</v>
      </c>
      <c r="P26" s="4">
        <v>2.77</v>
      </c>
      <c r="Q26" s="27">
        <v>30</v>
      </c>
      <c r="R26" s="27">
        <f t="shared" si="7"/>
        <v>7685.8359</v>
      </c>
      <c r="S26" s="28">
        <f t="shared" si="8"/>
        <v>5380.08513</v>
      </c>
    </row>
    <row r="27" spans="1:19">
      <c r="A27" s="2"/>
      <c r="O27" s="29" t="s">
        <v>24</v>
      </c>
      <c r="P27" s="4">
        <v>2.21</v>
      </c>
      <c r="Q27" s="30">
        <v>31</v>
      </c>
      <c r="R27" s="27">
        <f t="shared" si="7"/>
        <v>6336.42139</v>
      </c>
      <c r="S27" s="28">
        <f t="shared" si="8"/>
        <v>4435.494973</v>
      </c>
    </row>
    <row r="28" spans="1:19">
      <c r="A28" s="2"/>
      <c r="P28" s="31"/>
      <c r="Q28" s="32" t="s">
        <v>55</v>
      </c>
      <c r="R28" s="33"/>
      <c r="S28" s="32" t="s">
        <v>60</v>
      </c>
    </row>
    <row r="29" spans="1:19">
      <c r="A29" s="2"/>
    </row>
    <row r="30" spans="1:19">
      <c r="A30" s="2"/>
    </row>
    <row r="31" spans="1:19">
      <c r="A31" s="2"/>
    </row>
    <row r="32" spans="1:19">
      <c r="A32" s="2"/>
    </row>
    <row r="33" spans="1:1">
      <c r="A33" s="2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D2" sqref="D2:D13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3">
        <v>10.4</v>
      </c>
      <c r="C2" s="4">
        <v>78.4</v>
      </c>
      <c r="D2" s="4">
        <v>3</v>
      </c>
      <c r="E2" s="4">
        <v>2.12</v>
      </c>
      <c r="F2" s="4">
        <v>2.29</v>
      </c>
      <c r="G2" s="3">
        <f t="shared" ref="G2:G13" si="0">0.6108*EXP((17.27*B2)/(B2+237.3))</f>
        <v>1.26126759303422</v>
      </c>
      <c r="H2" s="4">
        <f t="shared" ref="H2:H13" si="1">G2*(C2/100)</f>
        <v>0.988833792938826</v>
      </c>
      <c r="I2" s="4">
        <f t="shared" ref="I2:I13" si="2">(4098*G2)/((B2+237.3)^2)</f>
        <v>0.0842417108003926</v>
      </c>
      <c r="J2" s="4">
        <f t="shared" ref="J2:J13" si="3">(0.408*I2*(0.77*F2)+0.067*(900/(B2+273))*D2*(G2-H2))/(I2+0.067*(1+0.34*D2))</f>
        <v>1.06796581928072</v>
      </c>
      <c r="K2" s="4">
        <v>31</v>
      </c>
      <c r="L2" s="4">
        <f t="shared" ref="L2:L13" si="4">92489*(J2/1000)*K2</f>
        <v>3062.02781044308</v>
      </c>
      <c r="M2" s="4">
        <f t="shared" ref="M2:M13" si="5">L2*0.7</f>
        <v>2143.41946731016</v>
      </c>
    </row>
    <row r="3" spans="1:19">
      <c r="A3" s="1" t="s">
        <v>14</v>
      </c>
      <c r="B3" s="3">
        <v>10.8</v>
      </c>
      <c r="C3" s="4">
        <v>77.3</v>
      </c>
      <c r="D3" s="4">
        <v>3.09</v>
      </c>
      <c r="E3" s="4">
        <v>2.99</v>
      </c>
      <c r="F3" s="4">
        <v>3.11</v>
      </c>
      <c r="G3" s="3">
        <f t="shared" si="0"/>
        <v>1.29536408639375</v>
      </c>
      <c r="H3" s="4">
        <f t="shared" si="1"/>
        <v>1.00131643878237</v>
      </c>
      <c r="I3" s="4">
        <f t="shared" si="2"/>
        <v>0.0862403037943927</v>
      </c>
      <c r="J3" s="4">
        <f t="shared" si="3"/>
        <v>1.24005911327431</v>
      </c>
      <c r="K3" s="4">
        <v>28</v>
      </c>
      <c r="L3" s="4">
        <f t="shared" si="4"/>
        <v>3211.37116517358</v>
      </c>
      <c r="M3" s="4">
        <f t="shared" si="5"/>
        <v>2247.95981562151</v>
      </c>
    </row>
    <row r="4" spans="1:19">
      <c r="A4" s="1" t="s">
        <v>15</v>
      </c>
      <c r="B4" s="3">
        <v>13.2</v>
      </c>
      <c r="C4" s="4">
        <v>75.5</v>
      </c>
      <c r="D4" s="4">
        <v>3.05</v>
      </c>
      <c r="E4" s="4">
        <v>4.24</v>
      </c>
      <c r="F4" s="4">
        <v>4.38</v>
      </c>
      <c r="G4" s="3">
        <f t="shared" si="0"/>
        <v>1.51747872260568</v>
      </c>
      <c r="H4" s="4">
        <f t="shared" si="1"/>
        <v>1.14569643556729</v>
      </c>
      <c r="I4" s="4">
        <f t="shared" si="2"/>
        <v>0.0991012435048159</v>
      </c>
      <c r="J4" s="4">
        <f t="shared" si="3"/>
        <v>1.59298761917229</v>
      </c>
      <c r="K4" s="4">
        <v>31</v>
      </c>
      <c r="L4" s="4">
        <f t="shared" si="4"/>
        <v>4567.34878919842</v>
      </c>
      <c r="M4" s="4">
        <f t="shared" si="5"/>
        <v>3197.14415243889</v>
      </c>
    </row>
    <row r="5" spans="1:19">
      <c r="A5" s="1" t="s">
        <v>16</v>
      </c>
      <c r="B5" s="3">
        <v>16.3</v>
      </c>
      <c r="C5" s="4">
        <v>72.7</v>
      </c>
      <c r="D5" s="4">
        <v>2.95</v>
      </c>
      <c r="E5" s="4">
        <v>5.42</v>
      </c>
      <c r="F5" s="4">
        <v>5.59</v>
      </c>
      <c r="G5" s="3">
        <f t="shared" si="0"/>
        <v>1.85342264920574</v>
      </c>
      <c r="H5" s="4">
        <f t="shared" si="1"/>
        <v>1.34743826597257</v>
      </c>
      <c r="I5" s="4">
        <f t="shared" si="2"/>
        <v>0.118099462634671</v>
      </c>
      <c r="J5" s="4">
        <f t="shared" si="3"/>
        <v>2.05517239593711</v>
      </c>
      <c r="K5" s="4">
        <v>30</v>
      </c>
      <c r="L5" s="4">
        <f t="shared" si="4"/>
        <v>5702.42519183483</v>
      </c>
      <c r="M5" s="4">
        <f t="shared" si="5"/>
        <v>3991.69763428438</v>
      </c>
    </row>
    <row r="6" spans="1:19">
      <c r="A6" s="1" t="s">
        <v>17</v>
      </c>
      <c r="B6" s="3">
        <v>20.3</v>
      </c>
      <c r="C6" s="4">
        <v>65.1</v>
      </c>
      <c r="D6" s="4">
        <v>3.09</v>
      </c>
      <c r="E6" s="4">
        <v>6.46</v>
      </c>
      <c r="F6" s="4">
        <v>6.52</v>
      </c>
      <c r="G6" s="3">
        <f t="shared" si="0"/>
        <v>2.38205933727792</v>
      </c>
      <c r="H6" s="4">
        <f t="shared" si="1"/>
        <v>1.55072062856793</v>
      </c>
      <c r="I6" s="4">
        <f t="shared" si="2"/>
        <v>0.147106821631184</v>
      </c>
      <c r="J6" s="4">
        <f t="shared" si="3"/>
        <v>2.91550820832437</v>
      </c>
      <c r="K6" s="4">
        <v>31</v>
      </c>
      <c r="L6" s="4">
        <f t="shared" si="4"/>
        <v>8359.22559907109</v>
      </c>
      <c r="M6" s="4">
        <f t="shared" si="5"/>
        <v>5851.45791934976</v>
      </c>
    </row>
    <row r="7" spans="1:19">
      <c r="A7" s="1" t="s">
        <v>18</v>
      </c>
      <c r="B7" s="3">
        <v>25.4</v>
      </c>
      <c r="C7" s="4">
        <v>54.7</v>
      </c>
      <c r="D7" s="4">
        <v>3.08</v>
      </c>
      <c r="E7" s="4">
        <v>7.47</v>
      </c>
      <c r="F7" s="4">
        <v>7.52</v>
      </c>
      <c r="G7" s="3">
        <f t="shared" si="0"/>
        <v>3.24404223815868</v>
      </c>
      <c r="H7" s="4">
        <f t="shared" si="1"/>
        <v>1.7744911042728</v>
      </c>
      <c r="I7" s="4">
        <f t="shared" si="2"/>
        <v>0.192636380104969</v>
      </c>
      <c r="J7" s="4">
        <f t="shared" si="3"/>
        <v>4.15328416023351</v>
      </c>
      <c r="K7" s="4">
        <v>30</v>
      </c>
      <c r="L7" s="4">
        <f t="shared" si="4"/>
        <v>11523.9929608751</v>
      </c>
      <c r="M7" s="4">
        <f t="shared" si="5"/>
        <v>8066.79507261257</v>
      </c>
    </row>
    <row r="8" spans="1:19">
      <c r="A8" s="1" t="s">
        <v>19</v>
      </c>
      <c r="B8" s="3">
        <v>28.7</v>
      </c>
      <c r="C8" s="4">
        <v>51.3</v>
      </c>
      <c r="D8" s="4">
        <v>3.16</v>
      </c>
      <c r="E8" s="4">
        <v>7.5</v>
      </c>
      <c r="F8" s="4">
        <v>7.59</v>
      </c>
      <c r="G8" s="3">
        <f t="shared" si="0"/>
        <v>3.93675350294972</v>
      </c>
      <c r="H8" s="4">
        <f t="shared" si="1"/>
        <v>2.01955454701321</v>
      </c>
      <c r="I8" s="4">
        <f t="shared" si="2"/>
        <v>0.228006329570467</v>
      </c>
      <c r="J8" s="4">
        <f t="shared" si="3"/>
        <v>4.78088331427483</v>
      </c>
      <c r="K8" s="4">
        <v>31</v>
      </c>
      <c r="L8" s="4">
        <f t="shared" si="4"/>
        <v>13707.5526224729</v>
      </c>
      <c r="M8" s="4">
        <f t="shared" si="5"/>
        <v>9595.28683573105</v>
      </c>
    </row>
    <row r="9" spans="1:19">
      <c r="A9" s="1" t="s">
        <v>20</v>
      </c>
      <c r="B9" s="3">
        <v>28.3</v>
      </c>
      <c r="C9" s="4">
        <v>54</v>
      </c>
      <c r="D9" s="4">
        <v>2.9</v>
      </c>
      <c r="E9" s="4">
        <v>6.54</v>
      </c>
      <c r="F9" s="4">
        <v>6.71</v>
      </c>
      <c r="G9" s="3">
        <f t="shared" si="0"/>
        <v>3.84646137238855</v>
      </c>
      <c r="H9" s="4">
        <f t="shared" si="1"/>
        <v>2.07708914108982</v>
      </c>
      <c r="I9" s="4">
        <f t="shared" si="2"/>
        <v>0.223448368550183</v>
      </c>
      <c r="J9" s="4">
        <f t="shared" si="3"/>
        <v>4.20169911304228</v>
      </c>
      <c r="K9" s="4">
        <v>31</v>
      </c>
      <c r="L9" s="4">
        <f t="shared" si="4"/>
        <v>12046.9394272512</v>
      </c>
      <c r="M9" s="4">
        <f t="shared" si="5"/>
        <v>8432.85759907584</v>
      </c>
    </row>
    <row r="10" spans="1:19">
      <c r="A10" s="1" t="s">
        <v>21</v>
      </c>
      <c r="B10" s="3">
        <v>24.4</v>
      </c>
      <c r="C10" s="4">
        <v>65.1</v>
      </c>
      <c r="D10" s="4">
        <v>2.73</v>
      </c>
      <c r="E10" s="4">
        <v>4.93</v>
      </c>
      <c r="F10" s="4">
        <v>5.14</v>
      </c>
      <c r="G10" s="3">
        <f t="shared" si="0"/>
        <v>3.05631265301676</v>
      </c>
      <c r="H10" s="4">
        <f t="shared" si="1"/>
        <v>1.98965953711391</v>
      </c>
      <c r="I10" s="4">
        <f t="shared" si="2"/>
        <v>0.182878347258325</v>
      </c>
      <c r="J10" s="4">
        <f t="shared" si="3"/>
        <v>2.83826283023701</v>
      </c>
      <c r="K10" s="4">
        <v>30</v>
      </c>
      <c r="L10" s="4">
        <f t="shared" si="4"/>
        <v>7875.24272717373</v>
      </c>
      <c r="M10" s="4">
        <f t="shared" si="5"/>
        <v>5512.66990902161</v>
      </c>
    </row>
    <row r="11" spans="1:19">
      <c r="A11" s="1" t="s">
        <v>22</v>
      </c>
      <c r="B11" s="3">
        <v>20.7</v>
      </c>
      <c r="C11" s="4">
        <v>68.5</v>
      </c>
      <c r="D11" s="4">
        <v>2.5</v>
      </c>
      <c r="E11" s="4">
        <v>3.63</v>
      </c>
      <c r="F11" s="4">
        <v>3.82</v>
      </c>
      <c r="G11" s="3">
        <f t="shared" si="0"/>
        <v>2.4415438714941</v>
      </c>
      <c r="H11" s="4">
        <f t="shared" si="1"/>
        <v>1.67245755197346</v>
      </c>
      <c r="I11" s="4">
        <f t="shared" si="2"/>
        <v>0.150313184084232</v>
      </c>
      <c r="J11" s="4">
        <f t="shared" si="3"/>
        <v>2.09705607266916</v>
      </c>
      <c r="K11" s="4">
        <v>31</v>
      </c>
      <c r="L11" s="4">
        <f t="shared" si="4"/>
        <v>6012.59319225803</v>
      </c>
      <c r="M11" s="4">
        <f t="shared" si="5"/>
        <v>4208.81523458062</v>
      </c>
    </row>
    <row r="12" spans="1:19">
      <c r="A12" s="1" t="s">
        <v>23</v>
      </c>
      <c r="B12" s="3">
        <v>15.1</v>
      </c>
      <c r="C12" s="4">
        <v>74.1</v>
      </c>
      <c r="D12" s="4">
        <v>2.77</v>
      </c>
      <c r="E12" s="4">
        <v>2.34</v>
      </c>
      <c r="F12" s="4">
        <v>2.51</v>
      </c>
      <c r="G12" s="3">
        <f t="shared" si="0"/>
        <v>1.71635640770194</v>
      </c>
      <c r="H12" s="4">
        <f t="shared" si="1"/>
        <v>1.27182009810714</v>
      </c>
      <c r="I12" s="4">
        <f t="shared" si="2"/>
        <v>0.110408047227795</v>
      </c>
      <c r="J12" s="4">
        <f t="shared" si="3"/>
        <v>1.43358262256238</v>
      </c>
      <c r="K12" s="4">
        <v>30</v>
      </c>
      <c r="L12" s="4">
        <f t="shared" si="4"/>
        <v>3977.71869534515</v>
      </c>
      <c r="M12" s="4">
        <f t="shared" si="5"/>
        <v>2784.4030867416</v>
      </c>
    </row>
    <row r="13" spans="1:19">
      <c r="A13" s="1" t="s">
        <v>24</v>
      </c>
      <c r="B13" s="3">
        <v>11.4</v>
      </c>
      <c r="C13" s="4">
        <v>78.5</v>
      </c>
      <c r="D13" s="4">
        <v>2.94</v>
      </c>
      <c r="E13" s="4">
        <v>1.84</v>
      </c>
      <c r="F13" s="4">
        <v>2</v>
      </c>
      <c r="G13" s="3">
        <f t="shared" si="0"/>
        <v>1.34802797116349</v>
      </c>
      <c r="H13" s="4">
        <f t="shared" si="1"/>
        <v>1.05820195736334</v>
      </c>
      <c r="I13" s="4">
        <f t="shared" si="2"/>
        <v>0.0893139480235378</v>
      </c>
      <c r="J13" s="4">
        <f t="shared" si="3"/>
        <v>1.06043752029478</v>
      </c>
      <c r="K13" s="4">
        <v>31</v>
      </c>
      <c r="L13" s="4">
        <f t="shared" si="4"/>
        <v>3040.44298025087</v>
      </c>
      <c r="M13" s="4">
        <f t="shared" si="5"/>
        <v>2128.31008617561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"/>
      <c r="L14" s="18" t="s">
        <v>59</v>
      </c>
      <c r="M14" s="19">
        <f>SUM(M2:M13)</f>
        <v>58160.8168129436</v>
      </c>
      <c r="R14" s="20" t="s">
        <v>26</v>
      </c>
      <c r="S14" s="21"/>
    </row>
    <row r="15" spans="1:19">
      <c r="L15">
        <f>L2+L3+L4+L5+L6+L7+L8+L9+L10+L11+L12+L13</f>
        <v>83086.881161348</v>
      </c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4">
        <v>2.33</v>
      </c>
      <c r="Q16" s="27">
        <v>31</v>
      </c>
      <c r="R16" s="27">
        <f t="shared" ref="R16:R27" si="6">92489*(P16/1000)*Q16</f>
        <v>6680.48047</v>
      </c>
      <c r="S16" s="28">
        <f t="shared" ref="S16:S27" si="7">0.7*R16</f>
        <v>4676.336329</v>
      </c>
    </row>
    <row r="17" spans="1:19">
      <c r="O17" s="26" t="s">
        <v>14</v>
      </c>
      <c r="P17" s="4">
        <v>2.99</v>
      </c>
      <c r="Q17" s="27">
        <v>28</v>
      </c>
      <c r="R17" s="27">
        <f t="shared" si="6"/>
        <v>7743.17908</v>
      </c>
      <c r="S17" s="28">
        <f t="shared" si="7"/>
        <v>5420.225356</v>
      </c>
    </row>
    <row r="18" spans="1:19">
      <c r="O18" s="26" t="s">
        <v>15</v>
      </c>
      <c r="P18" s="4">
        <v>4.01</v>
      </c>
      <c r="Q18" s="27">
        <v>31</v>
      </c>
      <c r="R18" s="27">
        <f t="shared" si="6"/>
        <v>11497.30759</v>
      </c>
      <c r="S18" s="28">
        <f t="shared" si="7"/>
        <v>8048.115313</v>
      </c>
    </row>
    <row r="19" spans="1:19">
      <c r="O19" s="26" t="s">
        <v>16</v>
      </c>
      <c r="P19" s="4">
        <v>5.17</v>
      </c>
      <c r="Q19" s="27">
        <v>30</v>
      </c>
      <c r="R19" s="27">
        <f t="shared" si="6"/>
        <v>14345.0439</v>
      </c>
      <c r="S19" s="28">
        <f t="shared" si="7"/>
        <v>10041.53073</v>
      </c>
    </row>
    <row r="20" spans="1:19">
      <c r="O20" s="26" t="s">
        <v>17</v>
      </c>
      <c r="P20" s="4">
        <v>6.59</v>
      </c>
      <c r="Q20" s="27">
        <v>31</v>
      </c>
      <c r="R20" s="27">
        <f t="shared" si="6"/>
        <v>18894.57781</v>
      </c>
      <c r="S20" s="28">
        <f t="shared" si="7"/>
        <v>13226.204467</v>
      </c>
    </row>
    <row r="21" spans="1:19">
      <c r="A21" s="2"/>
      <c r="B21" s="2"/>
      <c r="C21" s="2"/>
      <c r="O21" s="26" t="s">
        <v>18</v>
      </c>
      <c r="P21" s="4">
        <v>8.06</v>
      </c>
      <c r="Q21" s="27">
        <v>30</v>
      </c>
      <c r="R21" s="27">
        <f t="shared" si="6"/>
        <v>22363.8402</v>
      </c>
      <c r="S21" s="28">
        <f t="shared" si="7"/>
        <v>15654.68814</v>
      </c>
    </row>
    <row r="22" spans="1:19">
      <c r="A22" s="2"/>
      <c r="O22" s="26" t="s">
        <v>19</v>
      </c>
      <c r="P22" s="4">
        <v>8.54</v>
      </c>
      <c r="Q22" s="27">
        <v>31</v>
      </c>
      <c r="R22" s="27">
        <f t="shared" si="6"/>
        <v>24485.53786</v>
      </c>
      <c r="S22" s="28">
        <f t="shared" si="7"/>
        <v>17139.876502</v>
      </c>
    </row>
    <row r="23" spans="1:19">
      <c r="A23" s="2"/>
      <c r="O23" s="26" t="s">
        <v>20</v>
      </c>
      <c r="P23" s="4">
        <v>7.4</v>
      </c>
      <c r="Q23" s="27">
        <v>31</v>
      </c>
      <c r="R23" s="27">
        <f t="shared" si="6"/>
        <v>21216.9766</v>
      </c>
      <c r="S23" s="28">
        <f t="shared" si="7"/>
        <v>14851.88362</v>
      </c>
    </row>
    <row r="24" spans="1:19">
      <c r="A24" s="2"/>
      <c r="O24" s="26" t="s">
        <v>21</v>
      </c>
      <c r="P24" s="4">
        <v>5.4</v>
      </c>
      <c r="Q24" s="27">
        <v>30</v>
      </c>
      <c r="R24" s="27">
        <f t="shared" si="6"/>
        <v>14983.218</v>
      </c>
      <c r="S24" s="28">
        <f t="shared" si="7"/>
        <v>10488.2526</v>
      </c>
    </row>
    <row r="25" spans="1:19">
      <c r="A25" s="2"/>
      <c r="O25" s="26" t="s">
        <v>22</v>
      </c>
      <c r="P25" s="4">
        <v>3.93</v>
      </c>
      <c r="Q25" s="27">
        <v>31</v>
      </c>
      <c r="R25" s="27">
        <f t="shared" si="6"/>
        <v>11267.93487</v>
      </c>
      <c r="S25" s="28">
        <f t="shared" si="7"/>
        <v>7887.554409</v>
      </c>
    </row>
    <row r="26" spans="1:19">
      <c r="A26" s="2"/>
      <c r="O26" s="26" t="s">
        <v>23</v>
      </c>
      <c r="P26" s="4">
        <v>2.77</v>
      </c>
      <c r="Q26" s="27">
        <v>30</v>
      </c>
      <c r="R26" s="27">
        <f t="shared" si="6"/>
        <v>7685.8359</v>
      </c>
      <c r="S26" s="28">
        <f t="shared" si="7"/>
        <v>5380.08513</v>
      </c>
    </row>
    <row r="27" spans="1:19">
      <c r="A27" s="2"/>
      <c r="O27" s="29" t="s">
        <v>24</v>
      </c>
      <c r="P27" s="4">
        <v>2.21</v>
      </c>
      <c r="Q27" s="30">
        <v>31</v>
      </c>
      <c r="R27" s="27">
        <f t="shared" si="6"/>
        <v>6336.42139</v>
      </c>
      <c r="S27" s="28">
        <f t="shared" si="7"/>
        <v>4435.494973</v>
      </c>
    </row>
    <row r="28" spans="1:19">
      <c r="A28" s="2"/>
      <c r="P28" s="31"/>
      <c r="Q28" s="32" t="s">
        <v>55</v>
      </c>
      <c r="R28" s="33"/>
      <c r="S28" s="32" t="s">
        <v>60</v>
      </c>
    </row>
    <row r="29" spans="1:19">
      <c r="A29" s="2"/>
    </row>
    <row r="30" spans="1:19">
      <c r="A30" s="2"/>
    </row>
    <row r="31" spans="1:19">
      <c r="A31" s="2"/>
    </row>
    <row r="32" spans="1:19">
      <c r="A32" s="2"/>
    </row>
    <row r="33" spans="1:1">
      <c r="A33" s="2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D2" sqref="D2:D13"/>
    </sheetView>
  </sheetViews>
  <sheetFormatPr defaultColWidth="8.88888888888889" defaultRowHeight="14.4"/>
  <cols>
    <col min="4" max="4" width="10.6666666666667" customWidth="1"/>
    <col min="5" max="5" width="13.1111111111111" customWidth="1"/>
    <col min="6" max="6" width="15.7777777777778" customWidth="1"/>
    <col min="7" max="10" width="12.8888888888889"/>
    <col min="12" max="12" width="19.5555555555556" customWidth="1"/>
    <col min="13" max="13" width="19.6666666666667" customWidth="1"/>
    <col min="18" max="19" width="12.8888888888889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" t="s">
        <v>10</v>
      </c>
      <c r="L1" s="1" t="s">
        <v>11</v>
      </c>
      <c r="M1" s="1" t="s">
        <v>57</v>
      </c>
    </row>
    <row r="2" spans="1:19">
      <c r="A2" s="1" t="s">
        <v>13</v>
      </c>
      <c r="B2" s="3">
        <v>10.9</v>
      </c>
      <c r="C2" s="4">
        <v>83.6</v>
      </c>
      <c r="D2" s="4">
        <v>3.28</v>
      </c>
      <c r="E2" s="4">
        <v>2.12</v>
      </c>
      <c r="F2" s="4">
        <f t="shared" ref="F2:F13" si="0">E2*3.6</f>
        <v>7.632</v>
      </c>
      <c r="G2" s="3">
        <f t="shared" ref="G2:G13" si="1">0.6108*EXP((17.27*B2)/(B2+237.3))</f>
        <v>1.30401375259097</v>
      </c>
      <c r="H2" s="4">
        <f t="shared" ref="H2:H13" si="2">G2*(C2/100)</f>
        <v>1.09015549716605</v>
      </c>
      <c r="I2" s="4">
        <f t="shared" ref="I2:I13" si="3">(4098*G2)/((B2+237.3)^2)</f>
        <v>0.0867462224083959</v>
      </c>
      <c r="J2" s="4">
        <f t="shared" ref="J2:J13" si="4">(0.408*I2*(0.77*F2)+0.067*(900/(B2+273))*D2*(G2-H2))/(I2+0.067*(1+0.34*D2))</f>
        <v>1.56250409373634</v>
      </c>
      <c r="K2" s="4">
        <v>31</v>
      </c>
      <c r="L2" s="4">
        <f t="shared" ref="L2:L13" si="5">92489*(J2/1000)*K2</f>
        <v>4479.94767489299</v>
      </c>
      <c r="M2" s="4">
        <f t="shared" ref="M2:M13" si="6">L2*0.7</f>
        <v>3135.96337242509</v>
      </c>
    </row>
    <row r="3" spans="1:19">
      <c r="A3" s="1" t="s">
        <v>14</v>
      </c>
      <c r="B3" s="3">
        <v>11.1</v>
      </c>
      <c r="C3" s="4">
        <v>80.7</v>
      </c>
      <c r="D3" s="4">
        <v>3.34</v>
      </c>
      <c r="E3" s="4">
        <v>2.97</v>
      </c>
      <c r="F3" s="4">
        <f t="shared" si="0"/>
        <v>10.692</v>
      </c>
      <c r="G3" s="3">
        <f t="shared" si="1"/>
        <v>1.32146549931013</v>
      </c>
      <c r="H3" s="4">
        <f t="shared" si="2"/>
        <v>1.06642265794328</v>
      </c>
      <c r="I3" s="4">
        <f t="shared" si="3"/>
        <v>0.0877656553662103</v>
      </c>
      <c r="J3" s="4">
        <f t="shared" si="4"/>
        <v>2.06023817641926</v>
      </c>
      <c r="K3" s="4">
        <v>28</v>
      </c>
      <c r="L3" s="4">
        <f t="shared" si="5"/>
        <v>5335.38232356754</v>
      </c>
      <c r="M3" s="4">
        <f t="shared" si="6"/>
        <v>3734.76762649728</v>
      </c>
    </row>
    <row r="4" spans="1:19">
      <c r="A4" s="1" t="s">
        <v>15</v>
      </c>
      <c r="B4" s="3">
        <v>13.6</v>
      </c>
      <c r="C4" s="4">
        <v>76.6</v>
      </c>
      <c r="D4" s="4">
        <v>3.32</v>
      </c>
      <c r="E4" s="4">
        <v>4.26</v>
      </c>
      <c r="F4" s="4">
        <f t="shared" si="0"/>
        <v>15.336</v>
      </c>
      <c r="G4" s="3">
        <f t="shared" si="1"/>
        <v>1.55757834106131</v>
      </c>
      <c r="H4" s="4">
        <f t="shared" si="2"/>
        <v>1.19310500925296</v>
      </c>
      <c r="I4" s="4">
        <f t="shared" si="3"/>
        <v>0.101395931865995</v>
      </c>
      <c r="J4" s="4">
        <f t="shared" si="4"/>
        <v>3.04522824503894</v>
      </c>
      <c r="K4" s="4">
        <v>31</v>
      </c>
      <c r="L4" s="4">
        <f t="shared" si="5"/>
        <v>8731.15356981761</v>
      </c>
      <c r="M4" s="4">
        <f t="shared" si="6"/>
        <v>6111.80749887233</v>
      </c>
    </row>
    <row r="5" spans="1:19">
      <c r="A5" s="1" t="s">
        <v>16</v>
      </c>
      <c r="B5" s="3">
        <v>16.6</v>
      </c>
      <c r="C5" s="4">
        <v>73.7</v>
      </c>
      <c r="D5" s="4">
        <v>3.05</v>
      </c>
      <c r="E5" s="4">
        <v>5.49</v>
      </c>
      <c r="F5" s="4">
        <f t="shared" si="0"/>
        <v>19.764</v>
      </c>
      <c r="G5" s="3">
        <f t="shared" si="1"/>
        <v>1.88915212764153</v>
      </c>
      <c r="H5" s="4">
        <f t="shared" si="2"/>
        <v>1.39230511807181</v>
      </c>
      <c r="I5" s="4">
        <f t="shared" si="3"/>
        <v>0.120091835876669</v>
      </c>
      <c r="J5" s="4">
        <f t="shared" si="4"/>
        <v>4.13604160256342</v>
      </c>
      <c r="K5" s="4">
        <v>30</v>
      </c>
      <c r="L5" s="4">
        <f t="shared" si="5"/>
        <v>11476.1505533847</v>
      </c>
      <c r="M5" s="4">
        <f t="shared" si="6"/>
        <v>8033.30538736926</v>
      </c>
    </row>
    <row r="6" spans="1:19">
      <c r="A6" s="1" t="s">
        <v>17</v>
      </c>
      <c r="B6" s="3">
        <v>20.2</v>
      </c>
      <c r="C6" s="4">
        <v>67.2</v>
      </c>
      <c r="D6" s="4">
        <v>3.24</v>
      </c>
      <c r="E6" s="4">
        <v>6.5</v>
      </c>
      <c r="F6" s="4">
        <f t="shared" si="0"/>
        <v>23.4</v>
      </c>
      <c r="G6" s="3">
        <f t="shared" si="1"/>
        <v>2.36738769750327</v>
      </c>
      <c r="H6" s="4">
        <f t="shared" si="2"/>
        <v>1.5908845327222</v>
      </c>
      <c r="I6" s="4">
        <f t="shared" si="3"/>
        <v>0.146314333631722</v>
      </c>
      <c r="J6" s="4">
        <f t="shared" si="4"/>
        <v>5.54826049554548</v>
      </c>
      <c r="K6" s="4">
        <v>31</v>
      </c>
      <c r="L6" s="4">
        <f t="shared" si="5"/>
        <v>15907.7450141477</v>
      </c>
      <c r="M6" s="4">
        <f t="shared" si="6"/>
        <v>11135.4215099034</v>
      </c>
    </row>
    <row r="7" spans="1:19">
      <c r="A7" s="1" t="s">
        <v>18</v>
      </c>
      <c r="B7" s="3">
        <v>24.6</v>
      </c>
      <c r="C7" s="4">
        <v>61.6</v>
      </c>
      <c r="D7" s="4">
        <v>3.04</v>
      </c>
      <c r="E7" s="4">
        <v>7.5</v>
      </c>
      <c r="F7" s="4">
        <f t="shared" si="0"/>
        <v>27</v>
      </c>
      <c r="G7" s="3">
        <f t="shared" si="1"/>
        <v>3.09308132952254</v>
      </c>
      <c r="H7" s="4">
        <f t="shared" si="2"/>
        <v>1.90533809898589</v>
      </c>
      <c r="I7" s="4">
        <f t="shared" si="3"/>
        <v>0.184795885216623</v>
      </c>
      <c r="J7" s="4">
        <f t="shared" si="4"/>
        <v>7.16128398191869</v>
      </c>
      <c r="K7" s="4">
        <v>30</v>
      </c>
      <c r="L7" s="4">
        <f t="shared" si="5"/>
        <v>19870.1998261103</v>
      </c>
      <c r="M7" s="4">
        <f t="shared" si="6"/>
        <v>13909.1398782772</v>
      </c>
    </row>
    <row r="8" spans="1:19">
      <c r="A8" s="1" t="s">
        <v>19</v>
      </c>
      <c r="B8" s="3">
        <v>27.4</v>
      </c>
      <c r="C8" s="4">
        <v>60</v>
      </c>
      <c r="D8" s="4">
        <v>3.07</v>
      </c>
      <c r="E8" s="4">
        <v>7.53</v>
      </c>
      <c r="F8" s="4">
        <f t="shared" si="0"/>
        <v>27.108</v>
      </c>
      <c r="G8" s="3">
        <f t="shared" si="1"/>
        <v>3.6498676599832</v>
      </c>
      <c r="H8" s="4">
        <f t="shared" si="2"/>
        <v>2.18992059598992</v>
      </c>
      <c r="I8" s="4">
        <f t="shared" si="3"/>
        <v>0.21347213281933</v>
      </c>
      <c r="J8" s="4">
        <f t="shared" si="4"/>
        <v>7.75576377696109</v>
      </c>
      <c r="K8" s="4">
        <v>31</v>
      </c>
      <c r="L8" s="4">
        <f t="shared" si="5"/>
        <v>22237.007914988</v>
      </c>
      <c r="M8" s="4">
        <f t="shared" si="6"/>
        <v>15565.9055404916</v>
      </c>
    </row>
    <row r="9" spans="1:19">
      <c r="A9" s="1" t="s">
        <v>20</v>
      </c>
      <c r="B9" s="3">
        <v>27.4</v>
      </c>
      <c r="C9" s="4">
        <v>63.4</v>
      </c>
      <c r="D9" s="4">
        <v>2.69</v>
      </c>
      <c r="E9" s="4">
        <v>6.6</v>
      </c>
      <c r="F9" s="4">
        <f t="shared" si="0"/>
        <v>23.76</v>
      </c>
      <c r="G9" s="3">
        <f t="shared" si="1"/>
        <v>3.6498676599832</v>
      </c>
      <c r="H9" s="4">
        <f t="shared" si="2"/>
        <v>2.31401609642935</v>
      </c>
      <c r="I9" s="4">
        <f t="shared" si="3"/>
        <v>0.21347213281933</v>
      </c>
      <c r="J9" s="4">
        <f t="shared" si="4"/>
        <v>6.77327823413165</v>
      </c>
      <c r="K9" s="4">
        <v>31</v>
      </c>
      <c r="L9" s="4">
        <f t="shared" si="5"/>
        <v>19420.0656484947</v>
      </c>
      <c r="M9" s="4">
        <f t="shared" si="6"/>
        <v>13594.0459539463</v>
      </c>
    </row>
    <row r="10" spans="1:19">
      <c r="A10" s="1" t="s">
        <v>21</v>
      </c>
      <c r="B10" s="3">
        <v>24</v>
      </c>
      <c r="C10" s="4">
        <v>71.9</v>
      </c>
      <c r="D10" s="4">
        <v>2.65</v>
      </c>
      <c r="E10" s="4">
        <v>5</v>
      </c>
      <c r="F10" s="4">
        <f t="shared" si="0"/>
        <v>18</v>
      </c>
      <c r="G10" s="3">
        <f t="shared" si="1"/>
        <v>2.98391747716556</v>
      </c>
      <c r="H10" s="4">
        <f t="shared" si="2"/>
        <v>2.14543666608204</v>
      </c>
      <c r="I10" s="4">
        <f t="shared" si="3"/>
        <v>0.179093549026402</v>
      </c>
      <c r="J10" s="4">
        <f t="shared" si="4"/>
        <v>4.77673429105769</v>
      </c>
      <c r="K10" s="4">
        <v>30</v>
      </c>
      <c r="L10" s="4">
        <f t="shared" si="5"/>
        <v>13253.861335369</v>
      </c>
      <c r="M10" s="4">
        <f t="shared" si="6"/>
        <v>9277.70293475833</v>
      </c>
    </row>
    <row r="11" spans="1:19">
      <c r="A11" s="1" t="s">
        <v>22</v>
      </c>
      <c r="B11" s="3">
        <v>20.7</v>
      </c>
      <c r="C11" s="4">
        <v>75.8</v>
      </c>
      <c r="D11" s="4">
        <v>2.4</v>
      </c>
      <c r="E11" s="4">
        <v>3.65</v>
      </c>
      <c r="F11" s="4">
        <f t="shared" si="0"/>
        <v>13.14</v>
      </c>
      <c r="G11" s="3">
        <f t="shared" si="1"/>
        <v>2.4415438714941</v>
      </c>
      <c r="H11" s="4">
        <f t="shared" si="2"/>
        <v>1.85069025459253</v>
      </c>
      <c r="I11" s="4">
        <f t="shared" si="3"/>
        <v>0.150313184084232</v>
      </c>
      <c r="J11" s="4">
        <f t="shared" si="4"/>
        <v>3.35181479940832</v>
      </c>
      <c r="K11" s="4">
        <v>31</v>
      </c>
      <c r="L11" s="4">
        <f t="shared" si="5"/>
        <v>9610.18596845676</v>
      </c>
      <c r="M11" s="4">
        <f t="shared" si="6"/>
        <v>6727.13017791973</v>
      </c>
    </row>
    <row r="12" spans="1:19">
      <c r="A12" s="1" t="s">
        <v>23</v>
      </c>
      <c r="B12" s="3">
        <v>15.8</v>
      </c>
      <c r="C12" s="4">
        <v>79.5</v>
      </c>
      <c r="D12" s="4">
        <v>2.77</v>
      </c>
      <c r="E12" s="4">
        <v>2.38</v>
      </c>
      <c r="F12" s="4">
        <f t="shared" si="0"/>
        <v>8.568</v>
      </c>
      <c r="G12" s="3">
        <f t="shared" si="1"/>
        <v>1.79518828168672</v>
      </c>
      <c r="H12" s="4">
        <f t="shared" si="2"/>
        <v>1.42717468394094</v>
      </c>
      <c r="I12" s="4">
        <f t="shared" si="3"/>
        <v>0.114841185863482</v>
      </c>
      <c r="J12" s="4">
        <f t="shared" si="4"/>
        <v>2.13097898121208</v>
      </c>
      <c r="K12" s="4">
        <v>30</v>
      </c>
      <c r="L12" s="4">
        <f t="shared" si="5"/>
        <v>5912.76344979973</v>
      </c>
      <c r="M12" s="4">
        <f t="shared" si="6"/>
        <v>4138.93441485981</v>
      </c>
    </row>
    <row r="13" spans="1:19">
      <c r="A13" s="1" t="s">
        <v>24</v>
      </c>
      <c r="B13" s="3">
        <v>12</v>
      </c>
      <c r="C13" s="4">
        <v>83.4</v>
      </c>
      <c r="D13" s="4">
        <v>2.99</v>
      </c>
      <c r="E13" s="4">
        <v>1.87</v>
      </c>
      <c r="F13" s="4">
        <f t="shared" si="0"/>
        <v>6.732</v>
      </c>
      <c r="G13" s="3">
        <f t="shared" si="1"/>
        <v>1.40256387304696</v>
      </c>
      <c r="H13" s="4">
        <f t="shared" si="2"/>
        <v>1.16973827012116</v>
      </c>
      <c r="I13" s="4">
        <f t="shared" si="3"/>
        <v>0.0924804736333764</v>
      </c>
      <c r="J13" s="4">
        <f t="shared" si="4"/>
        <v>1.50654961482442</v>
      </c>
      <c r="K13" s="4">
        <v>31</v>
      </c>
      <c r="L13" s="4">
        <f t="shared" si="5"/>
        <v>4319.51728709038</v>
      </c>
      <c r="M13" s="4">
        <f t="shared" si="6"/>
        <v>3023.66210096326</v>
      </c>
    </row>
    <row r="14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"/>
      <c r="L14" s="18" t="s">
        <v>59</v>
      </c>
      <c r="M14" s="19">
        <f>SUM(M2:M13)</f>
        <v>98387.7863962836</v>
      </c>
      <c r="R14" s="20" t="s">
        <v>26</v>
      </c>
      <c r="S14" s="21"/>
    </row>
    <row r="15" spans="1:19">
      <c r="L15">
        <f>L2+L3+L4+L5+L6+L7+L8+L9+L10+L11+L12+L13</f>
        <v>140553.980566119</v>
      </c>
      <c r="O15" s="22" t="s">
        <v>0</v>
      </c>
      <c r="P15" s="23" t="s">
        <v>9</v>
      </c>
      <c r="Q15" s="24" t="s">
        <v>10</v>
      </c>
      <c r="R15" s="23" t="s">
        <v>27</v>
      </c>
      <c r="S15" s="25" t="s">
        <v>28</v>
      </c>
    </row>
    <row r="16" spans="1:19">
      <c r="O16" s="26" t="s">
        <v>13</v>
      </c>
      <c r="P16" s="4">
        <v>2.33</v>
      </c>
      <c r="Q16" s="27">
        <v>31</v>
      </c>
      <c r="R16" s="27">
        <f t="shared" ref="R16:R27" si="7">92489*(P16/1000)*Q16</f>
        <v>6680.48047</v>
      </c>
      <c r="S16" s="28">
        <f t="shared" ref="S16:S27" si="8">0.7*R16</f>
        <v>4676.336329</v>
      </c>
    </row>
    <row r="17" spans="1:19">
      <c r="O17" s="26" t="s">
        <v>14</v>
      </c>
      <c r="P17" s="4">
        <v>2.99</v>
      </c>
      <c r="Q17" s="27">
        <v>28</v>
      </c>
      <c r="R17" s="27">
        <f t="shared" si="7"/>
        <v>7743.17908</v>
      </c>
      <c r="S17" s="28">
        <f t="shared" si="8"/>
        <v>5420.225356</v>
      </c>
    </row>
    <row r="18" spans="1:19">
      <c r="O18" s="26" t="s">
        <v>15</v>
      </c>
      <c r="P18" s="4">
        <v>4.01</v>
      </c>
      <c r="Q18" s="27">
        <v>31</v>
      </c>
      <c r="R18" s="27">
        <f t="shared" si="7"/>
        <v>11497.30759</v>
      </c>
      <c r="S18" s="28">
        <f t="shared" si="8"/>
        <v>8048.115313</v>
      </c>
    </row>
    <row r="19" spans="1:19">
      <c r="O19" s="26" t="s">
        <v>16</v>
      </c>
      <c r="P19" s="4">
        <v>5.17</v>
      </c>
      <c r="Q19" s="27">
        <v>30</v>
      </c>
      <c r="R19" s="27">
        <f t="shared" si="7"/>
        <v>14345.0439</v>
      </c>
      <c r="S19" s="28">
        <f t="shared" si="8"/>
        <v>10041.53073</v>
      </c>
    </row>
    <row r="20" spans="1:19">
      <c r="O20" s="26" t="s">
        <v>17</v>
      </c>
      <c r="P20" s="4">
        <v>6.59</v>
      </c>
      <c r="Q20" s="27">
        <v>31</v>
      </c>
      <c r="R20" s="27">
        <f t="shared" si="7"/>
        <v>18894.57781</v>
      </c>
      <c r="S20" s="28">
        <f t="shared" si="8"/>
        <v>13226.204467</v>
      </c>
    </row>
    <row r="21" spans="1:19">
      <c r="A21" s="2"/>
      <c r="B21" s="2"/>
      <c r="C21" s="2"/>
      <c r="O21" s="26" t="s">
        <v>18</v>
      </c>
      <c r="P21" s="4">
        <v>8.06</v>
      </c>
      <c r="Q21" s="27">
        <v>30</v>
      </c>
      <c r="R21" s="27">
        <f t="shared" si="7"/>
        <v>22363.8402</v>
      </c>
      <c r="S21" s="28">
        <f t="shared" si="8"/>
        <v>15654.68814</v>
      </c>
    </row>
    <row r="22" spans="1:19">
      <c r="A22" s="2"/>
      <c r="O22" s="26" t="s">
        <v>19</v>
      </c>
      <c r="P22" s="4">
        <v>8.54</v>
      </c>
      <c r="Q22" s="27">
        <v>31</v>
      </c>
      <c r="R22" s="27">
        <f t="shared" si="7"/>
        <v>24485.53786</v>
      </c>
      <c r="S22" s="28">
        <f t="shared" si="8"/>
        <v>17139.876502</v>
      </c>
    </row>
    <row r="23" spans="1:19">
      <c r="A23" s="2"/>
      <c r="O23" s="26" t="s">
        <v>20</v>
      </c>
      <c r="P23" s="4">
        <v>7.4</v>
      </c>
      <c r="Q23" s="27">
        <v>31</v>
      </c>
      <c r="R23" s="27">
        <f t="shared" si="7"/>
        <v>21216.9766</v>
      </c>
      <c r="S23" s="28">
        <f t="shared" si="8"/>
        <v>14851.88362</v>
      </c>
    </row>
    <row r="24" spans="1:19">
      <c r="A24" s="2"/>
      <c r="O24" s="26" t="s">
        <v>21</v>
      </c>
      <c r="P24" s="4">
        <v>5.4</v>
      </c>
      <c r="Q24" s="27">
        <v>30</v>
      </c>
      <c r="R24" s="27">
        <f t="shared" si="7"/>
        <v>14983.218</v>
      </c>
      <c r="S24" s="28">
        <f t="shared" si="8"/>
        <v>10488.2526</v>
      </c>
    </row>
    <row r="25" spans="1:19">
      <c r="A25" s="2"/>
      <c r="O25" s="26" t="s">
        <v>22</v>
      </c>
      <c r="P25" s="4">
        <v>3.93</v>
      </c>
      <c r="Q25" s="27">
        <v>31</v>
      </c>
      <c r="R25" s="27">
        <f t="shared" si="7"/>
        <v>11267.93487</v>
      </c>
      <c r="S25" s="28">
        <f t="shared" si="8"/>
        <v>7887.554409</v>
      </c>
    </row>
    <row r="26" spans="1:19">
      <c r="A26" s="2"/>
      <c r="O26" s="26" t="s">
        <v>23</v>
      </c>
      <c r="P26" s="4">
        <v>2.77</v>
      </c>
      <c r="Q26" s="27">
        <v>30</v>
      </c>
      <c r="R26" s="27">
        <f t="shared" si="7"/>
        <v>7685.8359</v>
      </c>
      <c r="S26" s="28">
        <f t="shared" si="8"/>
        <v>5380.08513</v>
      </c>
    </row>
    <row r="27" spans="1:19">
      <c r="A27" s="2"/>
      <c r="O27" s="29" t="s">
        <v>24</v>
      </c>
      <c r="P27" s="4">
        <v>2.21</v>
      </c>
      <c r="Q27" s="30">
        <v>31</v>
      </c>
      <c r="R27" s="27">
        <f t="shared" si="7"/>
        <v>6336.42139</v>
      </c>
      <c r="S27" s="28">
        <f t="shared" si="8"/>
        <v>4435.494973</v>
      </c>
    </row>
    <row r="28" spans="1:19">
      <c r="A28" s="2"/>
      <c r="P28" s="31"/>
      <c r="Q28" s="32" t="s">
        <v>55</v>
      </c>
      <c r="R28" s="33"/>
      <c r="S28" s="32" t="s">
        <v>60</v>
      </c>
    </row>
    <row r="29" spans="1:19">
      <c r="A29" s="2"/>
    </row>
    <row r="30" spans="1:19">
      <c r="A30" s="2"/>
    </row>
    <row r="31" spans="1:19">
      <c r="A31" s="2"/>
    </row>
    <row r="32" spans="1:19">
      <c r="A32" s="2"/>
    </row>
    <row r="33" spans="1:1">
      <c r="A33" s="2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2" sqref="I2"/>
    </sheetView>
  </sheetViews>
  <sheetFormatPr defaultColWidth="8.88888888888889" defaultRowHeight="14.4"/>
  <cols>
    <col min="1" max="1" width="10.7777777777778" customWidth="1"/>
    <col min="3" max="4" width="12" customWidth="1"/>
    <col min="5" max="5" width="17.7777777777778" customWidth="1"/>
    <col min="6" max="6" width="15.8888888888889" customWidth="1"/>
    <col min="7" max="7" width="12.8888888888889"/>
    <col min="8" max="8" width="11.5555555555556" customWidth="1"/>
    <col min="9" max="9" width="12.3333333333333" customWidth="1"/>
    <col min="10" max="10" width="16.1111111111111" customWidth="1"/>
    <col min="11" max="11" width="14.8888888888889" customWidth="1"/>
    <col min="12" max="12" width="15.5555555555556" customWidth="1"/>
    <col min="13" max="13" width="12.1111111111111" customWidth="1"/>
    <col min="14" max="14" width="12.8888888888889"/>
  </cols>
  <sheetData>
    <row r="1" spans="1:16">
      <c r="A1" s="1" t="s">
        <v>0</v>
      </c>
      <c r="B1" s="1" t="s">
        <v>1</v>
      </c>
      <c r="C1" s="1" t="s">
        <v>3</v>
      </c>
      <c r="D1" s="1" t="s">
        <v>10</v>
      </c>
      <c r="E1" s="1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P1" s="1"/>
    </row>
    <row r="2" spans="1:16">
      <c r="A2" s="1" t="s">
        <v>13</v>
      </c>
      <c r="B2" s="4">
        <v>11.1</v>
      </c>
      <c r="C2" s="4">
        <v>2.11</v>
      </c>
      <c r="D2" s="5">
        <v>31</v>
      </c>
      <c r="E2" s="4">
        <v>112.1</v>
      </c>
      <c r="F2" s="6">
        <v>10</v>
      </c>
      <c r="G2" s="7">
        <f>(E2/(F2*D2))*1000</f>
        <v>361.612903225806</v>
      </c>
      <c r="H2" s="7">
        <f>0.9*G2*(1-0.218)</f>
        <v>254.503161290323</v>
      </c>
      <c r="I2" s="7">
        <f>B2+H2/20</f>
        <v>23.8251580645161</v>
      </c>
      <c r="J2" s="7">
        <f>B2+H2/(35+8*C2)</f>
        <v>16.0056122068297</v>
      </c>
      <c r="K2" s="6">
        <v>1788625</v>
      </c>
      <c r="L2" s="6">
        <v>1850253</v>
      </c>
      <c r="M2" s="6">
        <f>L2-K2</f>
        <v>61628</v>
      </c>
      <c r="N2" s="7">
        <f>((L2/K2)-1)*100</f>
        <v>3.44555175064645</v>
      </c>
      <c r="P2" s="1"/>
    </row>
    <row r="3" spans="1:16">
      <c r="A3" s="1" t="s">
        <v>14</v>
      </c>
      <c r="B3" s="4">
        <v>11.8</v>
      </c>
      <c r="C3" s="4">
        <v>2.21</v>
      </c>
      <c r="D3" s="5">
        <v>28</v>
      </c>
      <c r="E3" s="4">
        <v>123.9</v>
      </c>
      <c r="F3" s="6">
        <v>11</v>
      </c>
      <c r="G3" s="7">
        <f t="shared" ref="G3:G13" si="0">(E3/(F3*D3))*1000</f>
        <v>402.272727272727</v>
      </c>
      <c r="H3" s="7">
        <f t="shared" ref="H3:H13" si="1">0.9*G3*(1-0.218)</f>
        <v>283.119545454545</v>
      </c>
      <c r="I3" s="7">
        <f t="shared" ref="I3:I13" si="2">B3+H3/20</f>
        <v>25.9559772727273</v>
      </c>
      <c r="J3" s="7">
        <f t="shared" ref="J3:J13" si="3">B3+H3/(35+8*C3)</f>
        <v>17.1743269828122</v>
      </c>
      <c r="K3" s="6">
        <v>2167160</v>
      </c>
      <c r="L3" s="6">
        <v>2253746</v>
      </c>
      <c r="M3" s="6">
        <f t="shared" ref="M3:M15" si="4">L3-K3</f>
        <v>86586</v>
      </c>
      <c r="N3" s="7">
        <f t="shared" ref="N3:N14" si="5">((L3/K3)-1)*100</f>
        <v>3.99536720869709</v>
      </c>
      <c r="P3" s="1"/>
    </row>
    <row r="4" spans="1:16">
      <c r="A4" s="1" t="s">
        <v>15</v>
      </c>
      <c r="B4" s="4">
        <v>14.8</v>
      </c>
      <c r="C4" s="4">
        <v>2.09</v>
      </c>
      <c r="D4" s="5">
        <v>31</v>
      </c>
      <c r="E4" s="4">
        <v>168.6</v>
      </c>
      <c r="F4" s="6">
        <v>12</v>
      </c>
      <c r="G4" s="7">
        <f t="shared" si="0"/>
        <v>453.225806451613</v>
      </c>
      <c r="H4" s="7">
        <f t="shared" si="1"/>
        <v>318.980322580645</v>
      </c>
      <c r="I4" s="7">
        <f t="shared" si="2"/>
        <v>30.7490161290323</v>
      </c>
      <c r="J4" s="7">
        <f t="shared" si="3"/>
        <v>20.9674462989297</v>
      </c>
      <c r="K4" s="6">
        <v>2938135</v>
      </c>
      <c r="L4" s="6">
        <v>3065732</v>
      </c>
      <c r="M4" s="6">
        <f t="shared" si="4"/>
        <v>127597</v>
      </c>
      <c r="N4" s="7">
        <f t="shared" si="5"/>
        <v>4.34278887797872</v>
      </c>
      <c r="P4" s="1"/>
    </row>
    <row r="5" spans="1:16">
      <c r="A5" s="1" t="s">
        <v>16</v>
      </c>
      <c r="B5" s="4">
        <v>18</v>
      </c>
      <c r="C5" s="4">
        <v>1.99</v>
      </c>
      <c r="D5" s="5">
        <v>30</v>
      </c>
      <c r="E5" s="4">
        <v>192.4</v>
      </c>
      <c r="F5" s="6">
        <v>13</v>
      </c>
      <c r="G5" s="7">
        <f t="shared" si="0"/>
        <v>493.333333333333</v>
      </c>
      <c r="H5" s="7">
        <f t="shared" si="1"/>
        <v>347.208</v>
      </c>
      <c r="I5" s="7">
        <f t="shared" si="2"/>
        <v>35.3604</v>
      </c>
      <c r="J5" s="7">
        <f t="shared" si="3"/>
        <v>24.8186959937156</v>
      </c>
      <c r="K5" s="6">
        <v>3312073</v>
      </c>
      <c r="L5" s="6">
        <v>3461347</v>
      </c>
      <c r="M5" s="6">
        <f t="shared" si="4"/>
        <v>149274</v>
      </c>
      <c r="N5" s="7">
        <f t="shared" si="5"/>
        <v>4.50696587907331</v>
      </c>
      <c r="P5" s="1"/>
    </row>
    <row r="6" spans="1:16">
      <c r="A6" s="1" t="s">
        <v>17</v>
      </c>
      <c r="B6" s="4">
        <v>22.1</v>
      </c>
      <c r="C6" s="4">
        <v>2.01</v>
      </c>
      <c r="D6" s="5">
        <v>31</v>
      </c>
      <c r="E6" s="4">
        <v>217.4</v>
      </c>
      <c r="F6" s="6">
        <v>14</v>
      </c>
      <c r="G6" s="7">
        <f t="shared" si="0"/>
        <v>500.921658986175</v>
      </c>
      <c r="H6" s="7">
        <f t="shared" si="1"/>
        <v>352.54866359447</v>
      </c>
      <c r="I6" s="7">
        <f t="shared" si="2"/>
        <v>39.7274331797235</v>
      </c>
      <c r="J6" s="7">
        <f t="shared" si="3"/>
        <v>29.0018923961329</v>
      </c>
      <c r="K6" s="6">
        <v>3685068</v>
      </c>
      <c r="L6" s="6">
        <v>3862201</v>
      </c>
      <c r="M6" s="6">
        <f t="shared" si="4"/>
        <v>177133</v>
      </c>
      <c r="N6" s="7">
        <f t="shared" si="5"/>
        <v>4.80677697127978</v>
      </c>
      <c r="P6" s="1"/>
    </row>
    <row r="7" spans="1:16">
      <c r="A7" s="1" t="s">
        <v>18</v>
      </c>
      <c r="B7" s="4">
        <v>26.8</v>
      </c>
      <c r="C7" s="4">
        <v>1.95</v>
      </c>
      <c r="D7" s="5">
        <v>30</v>
      </c>
      <c r="E7" s="4">
        <v>227.3</v>
      </c>
      <c r="F7" s="6">
        <v>15</v>
      </c>
      <c r="G7" s="7">
        <f t="shared" si="0"/>
        <v>505.111111111111</v>
      </c>
      <c r="H7" s="7">
        <f t="shared" si="1"/>
        <v>355.4972</v>
      </c>
      <c r="I7" s="7">
        <f t="shared" si="2"/>
        <v>44.57486</v>
      </c>
      <c r="J7" s="7">
        <f t="shared" si="3"/>
        <v>33.8256363636364</v>
      </c>
      <c r="K7" s="6">
        <v>3782472</v>
      </c>
      <c r="L7" s="6">
        <v>3981709</v>
      </c>
      <c r="M7" s="6">
        <f t="shared" si="4"/>
        <v>199237</v>
      </c>
      <c r="N7" s="7">
        <f t="shared" si="5"/>
        <v>5.26737540952054</v>
      </c>
      <c r="P7" s="1"/>
    </row>
    <row r="8" spans="1:16">
      <c r="A8" s="1" t="s">
        <v>19</v>
      </c>
      <c r="B8" s="4">
        <v>30.1</v>
      </c>
      <c r="C8" s="4">
        <v>1.83</v>
      </c>
      <c r="D8" s="5">
        <v>31</v>
      </c>
      <c r="E8" s="4">
        <v>235.6</v>
      </c>
      <c r="F8" s="6">
        <v>14</v>
      </c>
      <c r="G8" s="7">
        <f t="shared" si="0"/>
        <v>542.857142857143</v>
      </c>
      <c r="H8" s="7">
        <f t="shared" si="1"/>
        <v>382.062857142857</v>
      </c>
      <c r="I8" s="8">
        <f t="shared" si="2"/>
        <v>49.2031428571429</v>
      </c>
      <c r="J8" s="9">
        <f t="shared" si="3"/>
        <v>37.7966731898239</v>
      </c>
      <c r="K8" s="6">
        <v>3860227</v>
      </c>
      <c r="L8" s="6">
        <v>4070896</v>
      </c>
      <c r="M8" s="6">
        <f t="shared" si="4"/>
        <v>210669</v>
      </c>
      <c r="N8" s="7">
        <f t="shared" si="5"/>
        <v>5.4574251721466</v>
      </c>
      <c r="P8" s="1"/>
    </row>
    <row r="9" spans="1:16">
      <c r="A9" s="1" t="s">
        <v>20</v>
      </c>
      <c r="B9" s="4">
        <v>29.5</v>
      </c>
      <c r="C9" s="4">
        <v>1.63</v>
      </c>
      <c r="D9" s="5">
        <v>31</v>
      </c>
      <c r="E9" s="4">
        <v>217.7</v>
      </c>
      <c r="F9" s="6">
        <v>14</v>
      </c>
      <c r="G9" s="7">
        <f t="shared" si="0"/>
        <v>501.612903225806</v>
      </c>
      <c r="H9" s="7">
        <f t="shared" si="1"/>
        <v>353.035161290323</v>
      </c>
      <c r="I9" s="7">
        <f t="shared" si="2"/>
        <v>47.1517580645161</v>
      </c>
      <c r="J9" s="7">
        <f t="shared" si="3"/>
        <v>36.8487752142032</v>
      </c>
      <c r="K9" s="6">
        <v>3584438</v>
      </c>
      <c r="L9" s="6">
        <v>3766958</v>
      </c>
      <c r="M9" s="6">
        <f t="shared" si="4"/>
        <v>182520</v>
      </c>
      <c r="N9" s="7">
        <f t="shared" si="5"/>
        <v>5.09201163473882</v>
      </c>
      <c r="P9" s="1"/>
    </row>
    <row r="10" spans="1:16">
      <c r="A10" s="1" t="s">
        <v>21</v>
      </c>
      <c r="B10" s="4">
        <v>25.3</v>
      </c>
      <c r="C10" s="4">
        <v>1.56</v>
      </c>
      <c r="D10" s="5">
        <v>30</v>
      </c>
      <c r="E10" s="4">
        <v>180.5</v>
      </c>
      <c r="F10" s="6">
        <v>12</v>
      </c>
      <c r="G10" s="7">
        <f t="shared" si="0"/>
        <v>501.388888888889</v>
      </c>
      <c r="H10" s="7">
        <f t="shared" si="1"/>
        <v>352.8775</v>
      </c>
      <c r="I10" s="7">
        <f t="shared" si="2"/>
        <v>42.943875</v>
      </c>
      <c r="J10" s="7">
        <f t="shared" si="3"/>
        <v>32.7321293176074</v>
      </c>
      <c r="K10" s="6">
        <v>3038337</v>
      </c>
      <c r="L10" s="6">
        <v>3184265</v>
      </c>
      <c r="M10" s="6">
        <f t="shared" si="4"/>
        <v>145928</v>
      </c>
      <c r="N10" s="7">
        <f t="shared" si="5"/>
        <v>4.80289052860166</v>
      </c>
      <c r="P10" s="1"/>
    </row>
    <row r="11" spans="1:16">
      <c r="A11" s="1" t="s">
        <v>22</v>
      </c>
      <c r="B11" s="4">
        <v>21.5</v>
      </c>
      <c r="C11" s="4">
        <v>1.49</v>
      </c>
      <c r="D11" s="5">
        <v>31</v>
      </c>
      <c r="E11" s="4">
        <v>151.9</v>
      </c>
      <c r="F11" s="6">
        <v>11</v>
      </c>
      <c r="G11" s="7">
        <f t="shared" si="0"/>
        <v>445.454545454545</v>
      </c>
      <c r="H11" s="7">
        <f t="shared" si="1"/>
        <v>313.510909090909</v>
      </c>
      <c r="I11" s="7">
        <f t="shared" si="2"/>
        <v>37.1755454545455</v>
      </c>
      <c r="J11" s="7">
        <f t="shared" si="3"/>
        <v>28.1818181818182</v>
      </c>
      <c r="K11" s="6">
        <v>2594638</v>
      </c>
      <c r="L11" s="6">
        <v>2701714</v>
      </c>
      <c r="M11" s="6">
        <f t="shared" si="4"/>
        <v>107076</v>
      </c>
      <c r="N11" s="7">
        <f t="shared" si="5"/>
        <v>4.12681846176615</v>
      </c>
      <c r="P11" s="1"/>
    </row>
    <row r="12" spans="1:16">
      <c r="A12" s="1" t="s">
        <v>23</v>
      </c>
      <c r="B12" s="4">
        <v>16</v>
      </c>
      <c r="C12" s="4">
        <v>1.81</v>
      </c>
      <c r="D12" s="5">
        <v>30</v>
      </c>
      <c r="E12" s="4">
        <v>110.5</v>
      </c>
      <c r="F12" s="6">
        <v>10</v>
      </c>
      <c r="G12" s="7">
        <f t="shared" si="0"/>
        <v>368.333333333333</v>
      </c>
      <c r="H12" s="7">
        <f t="shared" si="1"/>
        <v>259.233</v>
      </c>
      <c r="I12" s="7">
        <f t="shared" si="2"/>
        <v>28.96165</v>
      </c>
      <c r="J12" s="7">
        <f t="shared" si="3"/>
        <v>21.2391471301536</v>
      </c>
      <c r="K12" s="6">
        <v>1886084</v>
      </c>
      <c r="L12" s="6">
        <v>1948662</v>
      </c>
      <c r="M12" s="6">
        <f t="shared" si="4"/>
        <v>62578</v>
      </c>
      <c r="N12" s="7">
        <f t="shared" si="5"/>
        <v>3.31787979750637</v>
      </c>
      <c r="P12" s="1"/>
    </row>
    <row r="13" spans="1:16">
      <c r="A13" s="1" t="s">
        <v>24</v>
      </c>
      <c r="B13" s="4">
        <v>12.2</v>
      </c>
      <c r="C13" s="4">
        <v>2.06</v>
      </c>
      <c r="D13" s="5">
        <v>31</v>
      </c>
      <c r="E13" s="4">
        <v>101.1</v>
      </c>
      <c r="F13" s="6">
        <v>10</v>
      </c>
      <c r="G13" s="7">
        <f t="shared" si="0"/>
        <v>326.129032258065</v>
      </c>
      <c r="H13" s="7">
        <f t="shared" si="1"/>
        <v>229.529612903226</v>
      </c>
      <c r="I13" s="7">
        <f t="shared" si="2"/>
        <v>23.6764806451613</v>
      </c>
      <c r="J13" s="7">
        <f t="shared" si="3"/>
        <v>16.6586171892624</v>
      </c>
      <c r="K13" s="6">
        <v>1699436</v>
      </c>
      <c r="L13" s="6">
        <v>1755352</v>
      </c>
      <c r="M13" s="6">
        <f t="shared" si="4"/>
        <v>55916</v>
      </c>
      <c r="N13" s="7">
        <f t="shared" si="5"/>
        <v>3.29026806540522</v>
      </c>
      <c r="P13" s="1"/>
    </row>
    <row r="14" spans="1:16">
      <c r="B14" s="6"/>
      <c r="C14" s="6"/>
      <c r="D14" s="6"/>
      <c r="E14" s="6"/>
      <c r="F14" s="6"/>
      <c r="G14" s="6"/>
      <c r="H14" s="10" t="s">
        <v>71</v>
      </c>
      <c r="I14" s="11" t="s">
        <v>72</v>
      </c>
      <c r="J14" s="12" t="s">
        <v>73</v>
      </c>
      <c r="K14" s="13" t="s">
        <v>74</v>
      </c>
      <c r="L14" s="13" t="s">
        <v>75</v>
      </c>
      <c r="M14" s="13" t="s">
        <v>76</v>
      </c>
      <c r="N14" s="14">
        <v>0.0456</v>
      </c>
    </row>
    <row r="15" spans="1:16">
      <c r="M15" s="6"/>
    </row>
    <row r="17" spans="7:7">
      <c r="G17" s="15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F17" sqref="F17"/>
    </sheetView>
  </sheetViews>
  <sheetFormatPr defaultColWidth="8.88888888888889" defaultRowHeight="14.4"/>
  <cols>
    <col min="1" max="1" width="11.6666666666667" customWidth="1"/>
    <col min="3" max="3" width="10.5555555555556" customWidth="1"/>
    <col min="5" max="5" width="15.1111111111111" customWidth="1"/>
    <col min="6" max="6" width="12.7777777777778" customWidth="1"/>
    <col min="7" max="7" width="14.5555555555556" customWidth="1"/>
    <col min="8" max="12" width="12.8888888888889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2" t="s">
        <v>62</v>
      </c>
      <c r="F1" s="1"/>
      <c r="G1" t="s">
        <v>77</v>
      </c>
      <c r="H1" t="s">
        <v>63</v>
      </c>
      <c r="I1" t="s">
        <v>64</v>
      </c>
      <c r="J1" t="s">
        <v>78</v>
      </c>
      <c r="K1" t="s">
        <v>79</v>
      </c>
      <c r="L1" t="s">
        <v>80</v>
      </c>
    </row>
    <row r="2" spans="1:12">
      <c r="A2" s="1" t="s">
        <v>13</v>
      </c>
      <c r="B2" s="3">
        <v>10.7</v>
      </c>
      <c r="C2" s="4">
        <v>2.63</v>
      </c>
      <c r="D2" s="5">
        <v>31</v>
      </c>
      <c r="E2" s="6">
        <v>10</v>
      </c>
      <c r="F2" s="4"/>
      <c r="G2">
        <v>95.7</v>
      </c>
      <c r="H2">
        <f>((G2/(E2*D2))*1000)</f>
        <v>308.709677419355</v>
      </c>
      <c r="I2">
        <f>0.9*H2*(1-0.218)</f>
        <v>217.269870967742</v>
      </c>
      <c r="J2">
        <f>B2+I2/20</f>
        <v>21.5634935483871</v>
      </c>
      <c r="K2">
        <f>B2+I2/(35+8*C2)</f>
        <v>14.577049803136</v>
      </c>
      <c r="L2">
        <f>J2-K2</f>
        <v>6.98644374525109</v>
      </c>
    </row>
    <row r="3" spans="1:12">
      <c r="A3" s="1" t="s">
        <v>14</v>
      </c>
      <c r="B3" s="3">
        <v>10.9</v>
      </c>
      <c r="C3" s="4">
        <v>2.63</v>
      </c>
      <c r="D3" s="5">
        <v>28</v>
      </c>
      <c r="E3" s="6">
        <v>11</v>
      </c>
      <c r="F3" s="4"/>
      <c r="G3">
        <v>109.1</v>
      </c>
      <c r="H3">
        <f t="shared" ref="H3:H13" si="0">((G3/(E3*D3))*1000)</f>
        <v>354.220779220779</v>
      </c>
      <c r="I3">
        <f t="shared" ref="I3:I13" si="1">0.9*H3*(1-0.218)</f>
        <v>249.300584415584</v>
      </c>
      <c r="J3">
        <f t="shared" ref="J3:J13" si="2">B3+I3/20</f>
        <v>23.3650292207792</v>
      </c>
      <c r="K3">
        <f t="shared" ref="K3:K13" si="3">B3+I3/(35+8*C3)</f>
        <v>15.3486185655886</v>
      </c>
      <c r="L3">
        <f t="shared" ref="L3:L13" si="4">J3-K3</f>
        <v>8.01641065519063</v>
      </c>
    </row>
    <row r="4" spans="1:12">
      <c r="A4" s="1" t="s">
        <v>15</v>
      </c>
      <c r="B4" s="3">
        <v>13.4</v>
      </c>
      <c r="C4" s="4">
        <v>2.46</v>
      </c>
      <c r="D4" s="5">
        <v>31</v>
      </c>
      <c r="E4" s="6">
        <v>12</v>
      </c>
      <c r="F4" s="4"/>
      <c r="G4">
        <v>156.1</v>
      </c>
      <c r="H4">
        <f t="shared" si="0"/>
        <v>419.623655913978</v>
      </c>
      <c r="I4">
        <f t="shared" si="1"/>
        <v>295.331129032258</v>
      </c>
      <c r="J4">
        <f t="shared" si="2"/>
        <v>28.1665564516129</v>
      </c>
      <c r="K4">
        <f t="shared" si="3"/>
        <v>18.8010813648913</v>
      </c>
      <c r="L4">
        <f t="shared" si="4"/>
        <v>9.36547508672157</v>
      </c>
    </row>
    <row r="5" spans="1:12">
      <c r="A5" s="1" t="s">
        <v>16</v>
      </c>
      <c r="B5" s="3">
        <v>16.4</v>
      </c>
      <c r="C5" s="4">
        <v>2.07</v>
      </c>
      <c r="D5" s="5">
        <v>30</v>
      </c>
      <c r="E5" s="6">
        <v>13</v>
      </c>
      <c r="F5" s="4"/>
      <c r="G5">
        <v>179.1</v>
      </c>
      <c r="H5">
        <f t="shared" si="0"/>
        <v>459.230769230769</v>
      </c>
      <c r="I5">
        <f t="shared" si="1"/>
        <v>323.206615384615</v>
      </c>
      <c r="J5">
        <f t="shared" si="2"/>
        <v>32.5603307692308</v>
      </c>
      <c r="K5">
        <f t="shared" si="3"/>
        <v>22.6685534403533</v>
      </c>
      <c r="L5">
        <f t="shared" si="4"/>
        <v>9.89177732887749</v>
      </c>
    </row>
    <row r="6" spans="1:12">
      <c r="A6" s="1" t="s">
        <v>17</v>
      </c>
      <c r="B6" s="3">
        <v>20.2</v>
      </c>
      <c r="C6" s="4">
        <v>2.016</v>
      </c>
      <c r="D6" s="5">
        <v>31</v>
      </c>
      <c r="E6" s="6">
        <v>14</v>
      </c>
      <c r="F6" s="4"/>
      <c r="G6">
        <v>202.9</v>
      </c>
      <c r="H6">
        <f t="shared" si="0"/>
        <v>467.511520737327</v>
      </c>
      <c r="I6">
        <f t="shared" si="1"/>
        <v>329.034608294931</v>
      </c>
      <c r="J6">
        <f t="shared" si="2"/>
        <v>36.6517304147465</v>
      </c>
      <c r="K6">
        <f t="shared" si="3"/>
        <v>26.6355071251551</v>
      </c>
      <c r="L6">
        <f t="shared" si="4"/>
        <v>10.0162232895914</v>
      </c>
    </row>
    <row r="7" spans="1:12">
      <c r="A7" s="1" t="s">
        <v>18</v>
      </c>
      <c r="B7" s="3">
        <v>25.1</v>
      </c>
      <c r="C7" s="4">
        <v>1.98</v>
      </c>
      <c r="D7" s="5">
        <v>30</v>
      </c>
      <c r="E7" s="6">
        <v>15</v>
      </c>
      <c r="F7" s="4"/>
      <c r="G7">
        <v>221.7</v>
      </c>
      <c r="H7">
        <f t="shared" si="0"/>
        <v>492.666666666667</v>
      </c>
      <c r="I7">
        <f t="shared" si="1"/>
        <v>346.7388</v>
      </c>
      <c r="J7">
        <f t="shared" si="2"/>
        <v>42.43694</v>
      </c>
      <c r="K7">
        <f t="shared" si="3"/>
        <v>31.9201966955153</v>
      </c>
      <c r="L7">
        <f t="shared" si="4"/>
        <v>10.5167433044847</v>
      </c>
    </row>
    <row r="8" spans="1:12">
      <c r="A8" s="1" t="s">
        <v>19</v>
      </c>
      <c r="B8" s="3">
        <v>28.2</v>
      </c>
      <c r="C8" s="4">
        <v>2.05</v>
      </c>
      <c r="D8" s="5">
        <v>31</v>
      </c>
      <c r="E8" s="6">
        <v>14</v>
      </c>
      <c r="F8" s="4"/>
      <c r="G8">
        <v>233.6</v>
      </c>
      <c r="H8">
        <f t="shared" si="0"/>
        <v>538.248847926267</v>
      </c>
      <c r="I8">
        <f t="shared" si="1"/>
        <v>378.819539170507</v>
      </c>
      <c r="J8">
        <f t="shared" si="2"/>
        <v>47.1409769585253</v>
      </c>
      <c r="K8">
        <f t="shared" si="3"/>
        <v>35.5700299449515</v>
      </c>
      <c r="L8">
        <f t="shared" si="4"/>
        <v>11.5709470135738</v>
      </c>
    </row>
    <row r="9" spans="1:12">
      <c r="A9" s="1" t="s">
        <v>20</v>
      </c>
      <c r="B9" s="3">
        <v>28</v>
      </c>
      <c r="C9" s="4">
        <v>1.82</v>
      </c>
      <c r="D9" s="5">
        <v>31</v>
      </c>
      <c r="E9" s="6">
        <v>14</v>
      </c>
      <c r="F9" s="4"/>
      <c r="G9">
        <v>216.8</v>
      </c>
      <c r="H9">
        <f t="shared" si="0"/>
        <v>499.539170506913</v>
      </c>
      <c r="I9">
        <f t="shared" si="1"/>
        <v>351.575668202765</v>
      </c>
      <c r="J9">
        <f t="shared" si="2"/>
        <v>45.5787834101383</v>
      </c>
      <c r="K9">
        <f t="shared" si="3"/>
        <v>35.0939400363754</v>
      </c>
      <c r="L9">
        <f t="shared" si="4"/>
        <v>10.4848433737628</v>
      </c>
    </row>
    <row r="10" spans="1:12">
      <c r="A10" s="1" t="s">
        <v>21</v>
      </c>
      <c r="B10" s="3">
        <v>24.3</v>
      </c>
      <c r="C10" s="4">
        <v>1.81</v>
      </c>
      <c r="D10" s="5">
        <v>30</v>
      </c>
      <c r="E10" s="6">
        <v>12</v>
      </c>
      <c r="F10" s="4"/>
      <c r="G10">
        <v>170.8</v>
      </c>
      <c r="H10">
        <f t="shared" si="0"/>
        <v>474.444444444445</v>
      </c>
      <c r="I10">
        <f t="shared" si="1"/>
        <v>333.914</v>
      </c>
      <c r="J10">
        <f t="shared" si="2"/>
        <v>40.9957</v>
      </c>
      <c r="K10">
        <f t="shared" si="3"/>
        <v>31.048464025869</v>
      </c>
      <c r="L10">
        <f t="shared" si="4"/>
        <v>9.94723597413096</v>
      </c>
    </row>
    <row r="11" spans="1:12">
      <c r="A11" s="1" t="s">
        <v>22</v>
      </c>
      <c r="B11" s="3">
        <v>20.8</v>
      </c>
      <c r="C11" s="4">
        <v>1.66</v>
      </c>
      <c r="D11" s="5">
        <v>31</v>
      </c>
      <c r="E11" s="6">
        <v>11</v>
      </c>
      <c r="F11" s="4"/>
      <c r="G11">
        <v>142.4</v>
      </c>
      <c r="H11">
        <f t="shared" si="0"/>
        <v>417.595307917889</v>
      </c>
      <c r="I11">
        <f t="shared" si="1"/>
        <v>293.90357771261</v>
      </c>
      <c r="J11">
        <f t="shared" si="2"/>
        <v>35.4951788856305</v>
      </c>
      <c r="K11">
        <f t="shared" si="3"/>
        <v>26.8874808971129</v>
      </c>
      <c r="L11">
        <f t="shared" si="4"/>
        <v>8.60769798851762</v>
      </c>
    </row>
    <row r="12" spans="1:12">
      <c r="A12" s="1" t="s">
        <v>23</v>
      </c>
      <c r="B12" s="3">
        <v>15.5</v>
      </c>
      <c r="C12" s="4">
        <v>2.14</v>
      </c>
      <c r="D12" s="5">
        <v>30</v>
      </c>
      <c r="E12" s="6">
        <v>10</v>
      </c>
      <c r="F12" s="4"/>
      <c r="G12">
        <v>98.5</v>
      </c>
      <c r="H12">
        <f t="shared" si="0"/>
        <v>328.333333333333</v>
      </c>
      <c r="I12">
        <f t="shared" si="1"/>
        <v>231.081</v>
      </c>
      <c r="J12">
        <f t="shared" si="2"/>
        <v>27.05405</v>
      </c>
      <c r="K12">
        <f t="shared" si="3"/>
        <v>19.9336339217191</v>
      </c>
      <c r="L12">
        <f t="shared" si="4"/>
        <v>7.12041607828089</v>
      </c>
    </row>
    <row r="13" spans="1:12">
      <c r="A13" s="1" t="s">
        <v>24</v>
      </c>
      <c r="B13" s="3">
        <v>11.8</v>
      </c>
      <c r="C13" s="4">
        <v>2.47</v>
      </c>
      <c r="D13" s="5">
        <v>31</v>
      </c>
      <c r="E13" s="6">
        <v>10</v>
      </c>
      <c r="F13" s="4"/>
      <c r="G13">
        <v>84.5</v>
      </c>
      <c r="H13">
        <f t="shared" si="0"/>
        <v>272.58064516129</v>
      </c>
      <c r="I13">
        <f t="shared" si="1"/>
        <v>191.842258064516</v>
      </c>
      <c r="J13">
        <f t="shared" si="2"/>
        <v>21.3921129032258</v>
      </c>
      <c r="K13">
        <f t="shared" si="3"/>
        <v>15.3033283065105</v>
      </c>
      <c r="L13">
        <f t="shared" si="4"/>
        <v>6.08878459671529</v>
      </c>
    </row>
    <row r="14" spans="1:12">
      <c r="K14" t="s">
        <v>71</v>
      </c>
      <c r="L14">
        <f>AVERAGE(L2,L3,L4,L5,L6,L7,L8,L9,L10,L11,L12,L13)</f>
        <v>9.05108320292486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G14" sqref="G14"/>
    </sheetView>
  </sheetViews>
  <sheetFormatPr defaultColWidth="8.88888888888889" defaultRowHeight="14.4"/>
  <cols>
    <col min="1" max="1" width="11.6666666666667" customWidth="1"/>
    <col min="3" max="3" width="10.5555555555556" customWidth="1"/>
    <col min="5" max="5" width="15.1111111111111" customWidth="1"/>
    <col min="6" max="6" width="12.7777777777778" customWidth="1"/>
    <col min="7" max="7" width="14.5555555555556" customWidth="1"/>
    <col min="8" max="12" width="12.8888888888889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2" t="s">
        <v>62</v>
      </c>
      <c r="F1" s="1"/>
      <c r="G1" t="s">
        <v>77</v>
      </c>
      <c r="H1" t="s">
        <v>63</v>
      </c>
      <c r="I1" t="s">
        <v>64</v>
      </c>
      <c r="J1" t="s">
        <v>78</v>
      </c>
      <c r="K1" t="s">
        <v>79</v>
      </c>
      <c r="L1" t="s">
        <v>80</v>
      </c>
    </row>
    <row r="2" spans="1:12">
      <c r="A2" s="1" t="s">
        <v>13</v>
      </c>
      <c r="B2" s="3">
        <v>11.5</v>
      </c>
      <c r="C2" s="4">
        <v>3.98</v>
      </c>
      <c r="D2" s="5">
        <v>31</v>
      </c>
      <c r="E2" s="6">
        <v>10</v>
      </c>
      <c r="F2" s="4"/>
      <c r="G2">
        <v>65.8</v>
      </c>
      <c r="H2">
        <f t="shared" ref="H2:H13" si="0">((G2/(E2*D2))*1000)</f>
        <v>212.258064516129</v>
      </c>
      <c r="I2">
        <f t="shared" ref="I2:I13" si="1">0.9*H2*(1-0.218)</f>
        <v>149.387225806452</v>
      </c>
      <c r="J2">
        <f t="shared" ref="J2:J13" si="2">B2+I2/20</f>
        <v>18.9693612903226</v>
      </c>
      <c r="K2">
        <f t="shared" ref="K2:K13" si="3">B2+I2/(35+8*C2)</f>
        <v>13.7349973938727</v>
      </c>
      <c r="L2">
        <f t="shared" ref="L2:L13" si="4">J2-K2</f>
        <v>5.23436389644988</v>
      </c>
    </row>
    <row r="3" spans="1:12">
      <c r="A3" s="1" t="s">
        <v>14</v>
      </c>
      <c r="B3" s="3">
        <v>11.6</v>
      </c>
      <c r="C3" s="4">
        <v>4.07</v>
      </c>
      <c r="D3" s="5">
        <v>28</v>
      </c>
      <c r="E3" s="6">
        <v>11</v>
      </c>
      <c r="F3" s="4"/>
      <c r="G3">
        <v>83.7</v>
      </c>
      <c r="H3">
        <f t="shared" si="0"/>
        <v>271.753246753247</v>
      </c>
      <c r="I3">
        <f t="shared" si="1"/>
        <v>191.259935064935</v>
      </c>
      <c r="J3">
        <f t="shared" si="2"/>
        <v>21.1629967532468</v>
      </c>
      <c r="K3">
        <f t="shared" si="3"/>
        <v>14.430964106941</v>
      </c>
      <c r="L3">
        <f t="shared" si="4"/>
        <v>6.73203264630574</v>
      </c>
    </row>
    <row r="4" spans="1:12">
      <c r="A4" s="1" t="s">
        <v>15</v>
      </c>
      <c r="B4" s="3">
        <v>13.9</v>
      </c>
      <c r="C4" s="4">
        <v>4.05</v>
      </c>
      <c r="D4" s="5">
        <v>31</v>
      </c>
      <c r="E4" s="6">
        <v>12</v>
      </c>
      <c r="F4" s="4"/>
      <c r="G4">
        <v>131.5</v>
      </c>
      <c r="H4">
        <f t="shared" si="0"/>
        <v>353.494623655914</v>
      </c>
      <c r="I4">
        <f t="shared" si="1"/>
        <v>248.789516129032</v>
      </c>
      <c r="J4">
        <f t="shared" si="2"/>
        <v>26.3394758064516</v>
      </c>
      <c r="K4">
        <f t="shared" si="3"/>
        <v>17.5912391117067</v>
      </c>
      <c r="L4">
        <f t="shared" si="4"/>
        <v>8.74823669474491</v>
      </c>
    </row>
    <row r="5" spans="1:12">
      <c r="A5" s="1" t="s">
        <v>16</v>
      </c>
      <c r="B5" s="3">
        <v>16.6</v>
      </c>
      <c r="C5" s="4">
        <v>3.76</v>
      </c>
      <c r="D5" s="5">
        <v>30</v>
      </c>
      <c r="E5" s="6">
        <v>13</v>
      </c>
      <c r="F5" s="4"/>
      <c r="G5">
        <v>162.6</v>
      </c>
      <c r="H5">
        <f t="shared" si="0"/>
        <v>416.923076923077</v>
      </c>
      <c r="I5">
        <f t="shared" si="1"/>
        <v>293.430461538462</v>
      </c>
      <c r="J5">
        <f t="shared" si="2"/>
        <v>31.2715230769231</v>
      </c>
      <c r="K5">
        <f t="shared" si="3"/>
        <v>21.1087655430003</v>
      </c>
      <c r="L5">
        <f t="shared" si="4"/>
        <v>10.1627575339227</v>
      </c>
    </row>
    <row r="6" spans="1:12">
      <c r="A6" s="1" t="s">
        <v>17</v>
      </c>
      <c r="B6" s="3">
        <v>19.8</v>
      </c>
      <c r="C6" s="4">
        <v>3.72</v>
      </c>
      <c r="D6" s="5">
        <v>31</v>
      </c>
      <c r="E6" s="6">
        <v>14</v>
      </c>
      <c r="F6" s="4"/>
      <c r="G6">
        <v>200.3</v>
      </c>
      <c r="H6">
        <f t="shared" si="0"/>
        <v>461.520737327189</v>
      </c>
      <c r="I6">
        <f t="shared" si="1"/>
        <v>324.818294930876</v>
      </c>
      <c r="J6">
        <f t="shared" si="2"/>
        <v>36.0409147465438</v>
      </c>
      <c r="K6">
        <f t="shared" si="3"/>
        <v>24.8157241342013</v>
      </c>
      <c r="L6">
        <f t="shared" si="4"/>
        <v>11.2251906123425</v>
      </c>
    </row>
    <row r="7" spans="1:12">
      <c r="A7" s="1" t="s">
        <v>18</v>
      </c>
      <c r="B7" s="3">
        <v>24</v>
      </c>
      <c r="C7" s="4">
        <v>3.31</v>
      </c>
      <c r="D7" s="5">
        <v>30</v>
      </c>
      <c r="E7" s="6">
        <v>15</v>
      </c>
      <c r="F7" s="4"/>
      <c r="G7">
        <v>224.1</v>
      </c>
      <c r="H7">
        <f t="shared" si="0"/>
        <v>498</v>
      </c>
      <c r="I7">
        <f t="shared" si="1"/>
        <v>350.4924</v>
      </c>
      <c r="J7">
        <f t="shared" si="2"/>
        <v>41.52462</v>
      </c>
      <c r="K7">
        <f t="shared" si="3"/>
        <v>29.7009173715029</v>
      </c>
      <c r="L7">
        <f t="shared" si="4"/>
        <v>11.8237026284971</v>
      </c>
    </row>
    <row r="8" spans="1:12">
      <c r="A8" s="1" t="s">
        <v>19</v>
      </c>
      <c r="B8" s="3">
        <v>26.9</v>
      </c>
      <c r="C8" s="4">
        <v>3.32</v>
      </c>
      <c r="D8" s="5">
        <v>31</v>
      </c>
      <c r="E8" s="6">
        <v>14</v>
      </c>
      <c r="F8" s="4"/>
      <c r="G8">
        <v>232.4</v>
      </c>
      <c r="H8">
        <f t="shared" si="0"/>
        <v>535.483870967742</v>
      </c>
      <c r="I8">
        <f t="shared" si="1"/>
        <v>376.873548387097</v>
      </c>
      <c r="J8">
        <f t="shared" si="2"/>
        <v>45.7436774193548</v>
      </c>
      <c r="K8">
        <f t="shared" si="3"/>
        <v>33.0220524429353</v>
      </c>
      <c r="L8">
        <f t="shared" si="4"/>
        <v>12.7216249764195</v>
      </c>
    </row>
    <row r="9" spans="1:12">
      <c r="A9" s="1" t="s">
        <v>20</v>
      </c>
      <c r="B9" s="3">
        <v>27</v>
      </c>
      <c r="C9" s="4">
        <v>3.11</v>
      </c>
      <c r="D9" s="5">
        <v>31</v>
      </c>
      <c r="E9" s="6">
        <v>14</v>
      </c>
      <c r="F9" s="4"/>
      <c r="G9">
        <v>202.9</v>
      </c>
      <c r="H9">
        <f t="shared" si="0"/>
        <v>467.511520737327</v>
      </c>
      <c r="I9">
        <f t="shared" si="1"/>
        <v>329.034608294931</v>
      </c>
      <c r="J9">
        <f t="shared" si="2"/>
        <v>43.4517304147465</v>
      </c>
      <c r="K9">
        <f t="shared" si="3"/>
        <v>32.4948999381251</v>
      </c>
      <c r="L9">
        <f t="shared" si="4"/>
        <v>10.9568304766214</v>
      </c>
    </row>
    <row r="10" spans="1:12">
      <c r="A10" s="1" t="s">
        <v>21</v>
      </c>
      <c r="B10" s="3">
        <v>24</v>
      </c>
      <c r="C10" s="4">
        <v>3.01</v>
      </c>
      <c r="D10" s="5">
        <v>30</v>
      </c>
      <c r="E10" s="6">
        <v>12</v>
      </c>
      <c r="F10" s="4"/>
      <c r="G10">
        <v>147.9</v>
      </c>
      <c r="H10">
        <f t="shared" si="0"/>
        <v>410.833333333333</v>
      </c>
      <c r="I10">
        <f t="shared" si="1"/>
        <v>289.1445</v>
      </c>
      <c r="J10">
        <f t="shared" si="2"/>
        <v>38.457225</v>
      </c>
      <c r="K10">
        <f t="shared" si="3"/>
        <v>28.8941181448883</v>
      </c>
      <c r="L10">
        <f t="shared" si="4"/>
        <v>9.56310685511171</v>
      </c>
    </row>
    <row r="11" spans="1:12">
      <c r="A11" s="1" t="s">
        <v>22</v>
      </c>
      <c r="B11" s="3">
        <v>20.9</v>
      </c>
      <c r="C11" s="4">
        <v>2.95</v>
      </c>
      <c r="D11" s="5">
        <v>31</v>
      </c>
      <c r="E11" s="6">
        <v>11</v>
      </c>
      <c r="F11" s="4"/>
      <c r="G11">
        <v>112.4</v>
      </c>
      <c r="H11">
        <f t="shared" si="0"/>
        <v>329.618768328446</v>
      </c>
      <c r="I11">
        <f t="shared" si="1"/>
        <v>231.98568914956</v>
      </c>
      <c r="J11">
        <f t="shared" si="2"/>
        <v>32.499284457478</v>
      </c>
      <c r="K11">
        <f t="shared" si="3"/>
        <v>24.8588001561358</v>
      </c>
      <c r="L11">
        <f t="shared" si="4"/>
        <v>7.64048430134217</v>
      </c>
    </row>
    <row r="12" spans="1:12">
      <c r="A12" s="1" t="s">
        <v>23</v>
      </c>
      <c r="B12" s="3">
        <v>16.1</v>
      </c>
      <c r="C12" s="4">
        <v>3.42</v>
      </c>
      <c r="D12" s="5">
        <v>30</v>
      </c>
      <c r="E12" s="6">
        <v>10</v>
      </c>
      <c r="F12" s="4"/>
      <c r="G12">
        <v>70.3</v>
      </c>
      <c r="H12">
        <f t="shared" si="0"/>
        <v>234.333333333333</v>
      </c>
      <c r="I12">
        <f t="shared" si="1"/>
        <v>164.9238</v>
      </c>
      <c r="J12">
        <f t="shared" si="2"/>
        <v>24.34619</v>
      </c>
      <c r="K12">
        <f t="shared" si="3"/>
        <v>18.7447049390635</v>
      </c>
      <c r="L12">
        <f t="shared" si="4"/>
        <v>5.6014850609365</v>
      </c>
    </row>
    <row r="13" spans="1:12">
      <c r="A13" s="1" t="s">
        <v>24</v>
      </c>
      <c r="B13" s="3">
        <v>12.7</v>
      </c>
      <c r="C13" s="4">
        <v>3.78</v>
      </c>
      <c r="D13" s="5">
        <v>31</v>
      </c>
      <c r="E13" s="6">
        <v>10</v>
      </c>
      <c r="F13" s="4"/>
      <c r="G13">
        <v>57.1</v>
      </c>
      <c r="H13">
        <f t="shared" si="0"/>
        <v>184.193548387097</v>
      </c>
      <c r="I13">
        <f t="shared" si="1"/>
        <v>129.635419354839</v>
      </c>
      <c r="J13">
        <f t="shared" si="2"/>
        <v>19.1817709677419</v>
      </c>
      <c r="K13">
        <f t="shared" si="3"/>
        <v>14.6870542513004</v>
      </c>
      <c r="L13">
        <f t="shared" si="4"/>
        <v>4.49471671644153</v>
      </c>
    </row>
    <row r="14" spans="1:12">
      <c r="K14" t="s">
        <v>71</v>
      </c>
      <c r="L14">
        <f>AVERAGE(L2,L3,L4,L5,L6,L7,L8,L9,L10,L11,L12,L13)</f>
        <v>8.74204436659464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J22" sqref="J22"/>
    </sheetView>
  </sheetViews>
  <sheetFormatPr defaultColWidth="8.88888888888889" defaultRowHeight="14.4"/>
  <cols>
    <col min="1" max="1" width="11.6666666666667" customWidth="1"/>
    <col min="3" max="3" width="10.5555555555556" customWidth="1"/>
    <col min="5" max="5" width="15.1111111111111" customWidth="1"/>
    <col min="6" max="6" width="12.7777777777778" customWidth="1"/>
    <col min="7" max="7" width="14.5555555555556" customWidth="1"/>
    <col min="8" max="12" width="12.8888888888889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2" t="s">
        <v>62</v>
      </c>
      <c r="F1" s="1"/>
      <c r="G1" t="s">
        <v>77</v>
      </c>
      <c r="H1" t="s">
        <v>63</v>
      </c>
      <c r="I1" t="s">
        <v>64</v>
      </c>
      <c r="J1" t="s">
        <v>78</v>
      </c>
      <c r="K1" t="s">
        <v>79</v>
      </c>
      <c r="L1" t="s">
        <v>80</v>
      </c>
    </row>
    <row r="2" spans="1:12">
      <c r="A2" s="1" t="s">
        <v>13</v>
      </c>
      <c r="B2" s="3">
        <v>10.4</v>
      </c>
      <c r="C2" s="4">
        <v>3</v>
      </c>
      <c r="D2" s="5">
        <v>31</v>
      </c>
      <c r="E2" s="6">
        <v>10</v>
      </c>
      <c r="F2" s="4"/>
      <c r="G2">
        <v>85</v>
      </c>
      <c r="H2">
        <f t="shared" ref="H2:H13" si="0">((G2/(E2*D2))*1000)</f>
        <v>274.193548387097</v>
      </c>
      <c r="I2">
        <f t="shared" ref="I2:I13" si="1">0.9*H2*(1-0.218)</f>
        <v>192.977419354839</v>
      </c>
      <c r="J2">
        <f t="shared" ref="J2:J13" si="2">B2+I2/20</f>
        <v>20.0488709677419</v>
      </c>
      <c r="K2">
        <f t="shared" ref="K2:K13" si="3">B2+I2/(35+8*C2)</f>
        <v>13.6708037178786</v>
      </c>
      <c r="L2">
        <f t="shared" ref="L2:L13" si="4">J2-K2</f>
        <v>6.37806724986331</v>
      </c>
    </row>
    <row r="3" spans="1:12">
      <c r="A3" s="1" t="s">
        <v>14</v>
      </c>
      <c r="B3" s="3">
        <v>10.8</v>
      </c>
      <c r="C3" s="4">
        <v>3.09</v>
      </c>
      <c r="D3" s="5">
        <v>28</v>
      </c>
      <c r="E3" s="6">
        <v>11</v>
      </c>
      <c r="F3" s="4"/>
      <c r="G3">
        <v>100</v>
      </c>
      <c r="H3">
        <f t="shared" si="0"/>
        <v>324.675324675325</v>
      </c>
      <c r="I3">
        <f t="shared" si="1"/>
        <v>228.506493506493</v>
      </c>
      <c r="J3">
        <f t="shared" si="2"/>
        <v>22.2253246753247</v>
      </c>
      <c r="K3">
        <f t="shared" si="3"/>
        <v>14.6262976139734</v>
      </c>
      <c r="L3">
        <f t="shared" si="4"/>
        <v>7.59902706135124</v>
      </c>
    </row>
    <row r="4" spans="1:12">
      <c r="A4" s="1" t="s">
        <v>15</v>
      </c>
      <c r="B4" s="3">
        <v>13.2</v>
      </c>
      <c r="C4" s="4">
        <v>3.05</v>
      </c>
      <c r="D4" s="5">
        <v>31</v>
      </c>
      <c r="E4" s="6">
        <v>12</v>
      </c>
      <c r="F4" s="4"/>
      <c r="G4">
        <v>149.1</v>
      </c>
      <c r="H4">
        <f t="shared" si="0"/>
        <v>400.806451612903</v>
      </c>
      <c r="I4">
        <f t="shared" si="1"/>
        <v>282.087580645161</v>
      </c>
      <c r="J4">
        <f t="shared" si="2"/>
        <v>27.3043790322581</v>
      </c>
      <c r="K4">
        <f t="shared" si="3"/>
        <v>17.9489491691105</v>
      </c>
      <c r="L4">
        <f t="shared" si="4"/>
        <v>9.35542986314761</v>
      </c>
    </row>
    <row r="5" spans="1:12">
      <c r="A5" s="1" t="s">
        <v>16</v>
      </c>
      <c r="B5" s="3">
        <v>16.3</v>
      </c>
      <c r="C5" s="4">
        <v>2.95</v>
      </c>
      <c r="D5" s="5">
        <v>30</v>
      </c>
      <c r="E5" s="6">
        <v>13</v>
      </c>
      <c r="F5" s="4"/>
      <c r="G5">
        <v>173</v>
      </c>
      <c r="H5">
        <f t="shared" si="0"/>
        <v>443.589743589744</v>
      </c>
      <c r="I5">
        <f t="shared" si="1"/>
        <v>312.198461538462</v>
      </c>
      <c r="J5">
        <f t="shared" si="2"/>
        <v>31.9099230769231</v>
      </c>
      <c r="K5">
        <f t="shared" si="3"/>
        <v>21.6276187975847</v>
      </c>
      <c r="L5">
        <f t="shared" si="4"/>
        <v>10.2823042793384</v>
      </c>
    </row>
    <row r="6" spans="1:12">
      <c r="A6" s="1" t="s">
        <v>17</v>
      </c>
      <c r="B6" s="3">
        <v>20.3</v>
      </c>
      <c r="C6" s="4">
        <v>3.09</v>
      </c>
      <c r="D6" s="5">
        <v>31</v>
      </c>
      <c r="E6" s="6">
        <v>14</v>
      </c>
      <c r="F6" s="4"/>
      <c r="G6">
        <v>203.1</v>
      </c>
      <c r="H6">
        <f t="shared" si="0"/>
        <v>467.972350230415</v>
      </c>
      <c r="I6">
        <f t="shared" si="1"/>
        <v>329.358940092166</v>
      </c>
      <c r="J6">
        <f t="shared" si="2"/>
        <v>36.7679470046083</v>
      </c>
      <c r="K6">
        <f t="shared" si="3"/>
        <v>25.8150525802439</v>
      </c>
      <c r="L6">
        <f t="shared" si="4"/>
        <v>10.9528944243644</v>
      </c>
    </row>
    <row r="7" spans="1:12">
      <c r="A7" s="1" t="s">
        <v>18</v>
      </c>
      <c r="B7" s="3">
        <v>25.4</v>
      </c>
      <c r="C7" s="4">
        <v>3.08</v>
      </c>
      <c r="D7" s="5">
        <v>30</v>
      </c>
      <c r="E7" s="6">
        <v>15</v>
      </c>
      <c r="F7" s="4"/>
      <c r="G7">
        <v>222.6</v>
      </c>
      <c r="H7">
        <f t="shared" si="0"/>
        <v>494.666666666667</v>
      </c>
      <c r="I7">
        <f t="shared" si="1"/>
        <v>348.1464</v>
      </c>
      <c r="J7">
        <f t="shared" si="2"/>
        <v>42.80732</v>
      </c>
      <c r="K7">
        <f t="shared" si="3"/>
        <v>31.2374647887324</v>
      </c>
      <c r="L7">
        <f t="shared" si="4"/>
        <v>11.5698552112676</v>
      </c>
    </row>
    <row r="8" spans="1:12">
      <c r="A8" s="1" t="s">
        <v>19</v>
      </c>
      <c r="B8" s="3">
        <v>28.7</v>
      </c>
      <c r="C8" s="4">
        <v>3.16</v>
      </c>
      <c r="D8" s="5">
        <v>31</v>
      </c>
      <c r="E8" s="6">
        <v>14</v>
      </c>
      <c r="F8" s="4"/>
      <c r="G8">
        <v>233.3</v>
      </c>
      <c r="H8">
        <f t="shared" si="0"/>
        <v>537.557603686636</v>
      </c>
      <c r="I8">
        <f t="shared" si="1"/>
        <v>378.333041474654</v>
      </c>
      <c r="J8">
        <f t="shared" si="2"/>
        <v>47.6166520737327</v>
      </c>
      <c r="K8">
        <f t="shared" si="3"/>
        <v>34.976261471046</v>
      </c>
      <c r="L8">
        <f t="shared" si="4"/>
        <v>12.6403906026867</v>
      </c>
    </row>
    <row r="9" spans="1:12">
      <c r="A9" s="1" t="s">
        <v>20</v>
      </c>
      <c r="B9" s="3">
        <v>28.3</v>
      </c>
      <c r="C9" s="4">
        <v>2.9</v>
      </c>
      <c r="D9" s="5">
        <v>31</v>
      </c>
      <c r="E9" s="6">
        <v>14</v>
      </c>
      <c r="F9" s="4"/>
      <c r="G9">
        <v>211.8</v>
      </c>
      <c r="H9">
        <f t="shared" si="0"/>
        <v>488.018433179724</v>
      </c>
      <c r="I9">
        <f t="shared" si="1"/>
        <v>343.467373271889</v>
      </c>
      <c r="J9">
        <f t="shared" si="2"/>
        <v>45.4733686635945</v>
      </c>
      <c r="K9">
        <f t="shared" si="3"/>
        <v>34.2015012589672</v>
      </c>
      <c r="L9">
        <f t="shared" si="4"/>
        <v>11.2718674046273</v>
      </c>
    </row>
    <row r="10" spans="1:12">
      <c r="A10" s="1" t="s">
        <v>21</v>
      </c>
      <c r="B10" s="3">
        <v>24.4</v>
      </c>
      <c r="C10" s="4">
        <v>2.73</v>
      </c>
      <c r="D10" s="5">
        <v>30</v>
      </c>
      <c r="E10" s="6">
        <v>12</v>
      </c>
      <c r="F10" s="4"/>
      <c r="G10">
        <v>163.5</v>
      </c>
      <c r="H10">
        <f t="shared" si="0"/>
        <v>454.166666666667</v>
      </c>
      <c r="I10">
        <f t="shared" si="1"/>
        <v>319.6425</v>
      </c>
      <c r="J10">
        <f t="shared" si="2"/>
        <v>40.382125</v>
      </c>
      <c r="K10">
        <f t="shared" si="3"/>
        <v>30.023548557354</v>
      </c>
      <c r="L10">
        <f t="shared" si="4"/>
        <v>10.358576442646</v>
      </c>
    </row>
    <row r="11" spans="1:12">
      <c r="A11" s="1" t="s">
        <v>22</v>
      </c>
      <c r="B11" s="3">
        <v>20.7</v>
      </c>
      <c r="C11" s="4">
        <v>2.5</v>
      </c>
      <c r="D11" s="5">
        <v>31</v>
      </c>
      <c r="E11" s="6">
        <v>11</v>
      </c>
      <c r="F11" s="4"/>
      <c r="G11">
        <v>132.5</v>
      </c>
      <c r="H11">
        <f t="shared" si="0"/>
        <v>388.563049853372</v>
      </c>
      <c r="I11">
        <f t="shared" si="1"/>
        <v>273.470674486803</v>
      </c>
      <c r="J11">
        <f t="shared" si="2"/>
        <v>34.3735337243402</v>
      </c>
      <c r="K11">
        <f t="shared" si="3"/>
        <v>25.6721940815782</v>
      </c>
      <c r="L11">
        <f t="shared" si="4"/>
        <v>8.70133964276193</v>
      </c>
    </row>
    <row r="12" spans="1:12">
      <c r="A12" s="1" t="s">
        <v>23</v>
      </c>
      <c r="B12" s="3">
        <v>15.1</v>
      </c>
      <c r="C12" s="4">
        <v>2.77</v>
      </c>
      <c r="D12" s="5">
        <v>30</v>
      </c>
      <c r="E12" s="6">
        <v>10</v>
      </c>
      <c r="F12" s="4"/>
      <c r="G12">
        <v>87.6</v>
      </c>
      <c r="H12">
        <f t="shared" si="0"/>
        <v>292</v>
      </c>
      <c r="I12">
        <f t="shared" si="1"/>
        <v>205.5096</v>
      </c>
      <c r="J12">
        <f t="shared" si="2"/>
        <v>25.37548</v>
      </c>
      <c r="K12">
        <f t="shared" si="3"/>
        <v>18.6953393981805</v>
      </c>
      <c r="L12">
        <f t="shared" si="4"/>
        <v>6.68014060181945</v>
      </c>
    </row>
    <row r="13" spans="1:12">
      <c r="A13" s="1" t="s">
        <v>24</v>
      </c>
      <c r="B13" s="3">
        <v>11.4</v>
      </c>
      <c r="C13" s="4">
        <v>2.94</v>
      </c>
      <c r="D13" s="5">
        <v>31</v>
      </c>
      <c r="E13" s="6">
        <v>10</v>
      </c>
      <c r="F13" s="4"/>
      <c r="G13">
        <v>74.9</v>
      </c>
      <c r="H13">
        <f t="shared" si="0"/>
        <v>241.612903225806</v>
      </c>
      <c r="I13">
        <f t="shared" si="1"/>
        <v>170.047161290323</v>
      </c>
      <c r="J13">
        <f t="shared" si="2"/>
        <v>19.9023580645161</v>
      </c>
      <c r="K13">
        <f t="shared" si="3"/>
        <v>14.3057956474765</v>
      </c>
      <c r="L13">
        <f t="shared" si="4"/>
        <v>5.59656241703967</v>
      </c>
    </row>
    <row r="14" spans="1:12">
      <c r="K14" t="s">
        <v>71</v>
      </c>
      <c r="L14">
        <f>AVERAGE(L2,L3,L4,L5,L6,L7,L8,L9,L10,L11,L12,L13)</f>
        <v>9.28220460007614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G14" sqref="G14"/>
    </sheetView>
  </sheetViews>
  <sheetFormatPr defaultColWidth="8.88888888888889" defaultRowHeight="14.4"/>
  <cols>
    <col min="1" max="1" width="11.6666666666667" customWidth="1"/>
    <col min="3" max="3" width="10.5555555555556" customWidth="1"/>
    <col min="5" max="5" width="15.1111111111111" customWidth="1"/>
    <col min="6" max="6" width="12.7777777777778" customWidth="1"/>
    <col min="7" max="7" width="14.5555555555556" customWidth="1"/>
    <col min="8" max="12" width="12.8888888888889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2" t="s">
        <v>62</v>
      </c>
      <c r="F1" s="1"/>
      <c r="G1" t="s">
        <v>77</v>
      </c>
      <c r="H1" t="s">
        <v>63</v>
      </c>
      <c r="I1" t="s">
        <v>64</v>
      </c>
      <c r="J1" t="s">
        <v>78</v>
      </c>
      <c r="K1" t="s">
        <v>79</v>
      </c>
      <c r="L1" t="s">
        <v>80</v>
      </c>
    </row>
    <row r="2" spans="1:12">
      <c r="A2" s="1" t="s">
        <v>13</v>
      </c>
      <c r="B2" s="3">
        <v>10.9</v>
      </c>
      <c r="C2" s="4">
        <v>3.28</v>
      </c>
      <c r="D2" s="5">
        <v>31</v>
      </c>
      <c r="E2" s="6">
        <v>10</v>
      </c>
      <c r="F2" s="4"/>
      <c r="G2">
        <v>65.8</v>
      </c>
      <c r="H2">
        <f t="shared" ref="H2:H13" si="0">((G2/(E2*D2))*1000)</f>
        <v>212.258064516129</v>
      </c>
      <c r="I2">
        <f t="shared" ref="I2:I13" si="1">0.9*H2*(1-0.218)</f>
        <v>149.387225806452</v>
      </c>
      <c r="J2">
        <f t="shared" ref="J2:J13" si="2">B2+I2/20</f>
        <v>18.3693612903226</v>
      </c>
      <c r="K2">
        <f t="shared" ref="K2:K13" si="3">B2+I2/(35+8*C2)</f>
        <v>13.339373380249</v>
      </c>
      <c r="L2">
        <f t="shared" ref="L2:L13" si="4">J2-K2</f>
        <v>5.02998791007353</v>
      </c>
    </row>
    <row r="3" spans="1:12">
      <c r="A3" s="1" t="s">
        <v>14</v>
      </c>
      <c r="B3" s="3">
        <v>11.1</v>
      </c>
      <c r="C3" s="4">
        <v>3.34</v>
      </c>
      <c r="D3" s="5">
        <v>28</v>
      </c>
      <c r="E3" s="6">
        <v>11</v>
      </c>
      <c r="F3" s="4"/>
      <c r="G3">
        <v>83.1</v>
      </c>
      <c r="H3">
        <f t="shared" si="0"/>
        <v>269.805194805195</v>
      </c>
      <c r="I3">
        <f t="shared" si="1"/>
        <v>189.888896103896</v>
      </c>
      <c r="J3">
        <f t="shared" si="2"/>
        <v>20.5944448051948</v>
      </c>
      <c r="K3">
        <f t="shared" si="3"/>
        <v>14.1766185370041</v>
      </c>
      <c r="L3">
        <f t="shared" si="4"/>
        <v>6.41782626819066</v>
      </c>
    </row>
    <row r="4" spans="1:12">
      <c r="A4" s="1" t="s">
        <v>15</v>
      </c>
      <c r="B4" s="3">
        <v>13.6</v>
      </c>
      <c r="C4" s="4">
        <v>3.32</v>
      </c>
      <c r="D4" s="5">
        <v>31</v>
      </c>
      <c r="E4" s="6">
        <v>12</v>
      </c>
      <c r="F4" s="4"/>
      <c r="G4">
        <v>132.1</v>
      </c>
      <c r="H4">
        <f t="shared" si="0"/>
        <v>355.10752688172</v>
      </c>
      <c r="I4">
        <f t="shared" si="1"/>
        <v>249.924677419355</v>
      </c>
      <c r="J4">
        <f t="shared" si="2"/>
        <v>26.0962338709677</v>
      </c>
      <c r="K4">
        <f t="shared" si="3"/>
        <v>17.6598550587939</v>
      </c>
      <c r="L4">
        <f t="shared" si="4"/>
        <v>8.43637881217381</v>
      </c>
    </row>
    <row r="5" spans="1:12">
      <c r="A5" s="1" t="s">
        <v>16</v>
      </c>
      <c r="B5" s="3">
        <v>16.6</v>
      </c>
      <c r="C5" s="4">
        <v>3.05</v>
      </c>
      <c r="D5" s="5">
        <v>30</v>
      </c>
      <c r="E5" s="6">
        <v>13</v>
      </c>
      <c r="F5" s="4"/>
      <c r="G5">
        <v>164.6</v>
      </c>
      <c r="H5">
        <f t="shared" si="0"/>
        <v>422.051282051282</v>
      </c>
      <c r="I5">
        <f t="shared" si="1"/>
        <v>297.039692307692</v>
      </c>
      <c r="J5">
        <f t="shared" si="2"/>
        <v>31.4519846153846</v>
      </c>
      <c r="K5">
        <f t="shared" si="3"/>
        <v>21.6006682206682</v>
      </c>
      <c r="L5">
        <f t="shared" si="4"/>
        <v>9.8513163947164</v>
      </c>
    </row>
    <row r="6" spans="1:12">
      <c r="A6" s="1" t="s">
        <v>17</v>
      </c>
      <c r="B6" s="3">
        <v>20.2</v>
      </c>
      <c r="C6" s="4">
        <v>3.24</v>
      </c>
      <c r="D6" s="5">
        <v>31</v>
      </c>
      <c r="E6" s="6">
        <v>14</v>
      </c>
      <c r="F6" s="4"/>
      <c r="G6">
        <v>201.6</v>
      </c>
      <c r="H6">
        <f t="shared" si="0"/>
        <v>464.516129032258</v>
      </c>
      <c r="I6">
        <f t="shared" si="1"/>
        <v>326.926451612903</v>
      </c>
      <c r="J6">
        <f t="shared" si="2"/>
        <v>36.5463225806452</v>
      </c>
      <c r="K6">
        <f t="shared" si="3"/>
        <v>25.5664880435473</v>
      </c>
      <c r="L6">
        <f t="shared" si="4"/>
        <v>10.9798345370978</v>
      </c>
    </row>
    <row r="7" spans="1:12">
      <c r="A7" s="1" t="s">
        <v>18</v>
      </c>
      <c r="B7" s="3">
        <v>24.6</v>
      </c>
      <c r="C7" s="4">
        <v>3.04</v>
      </c>
      <c r="D7" s="5">
        <v>30</v>
      </c>
      <c r="E7" s="6">
        <v>15</v>
      </c>
      <c r="F7" s="4"/>
      <c r="G7">
        <v>225</v>
      </c>
      <c r="H7">
        <f t="shared" si="0"/>
        <v>500</v>
      </c>
      <c r="I7">
        <f t="shared" si="1"/>
        <v>351.9</v>
      </c>
      <c r="J7">
        <f t="shared" si="2"/>
        <v>42.195</v>
      </c>
      <c r="K7">
        <f t="shared" si="3"/>
        <v>30.5322319622387</v>
      </c>
      <c r="L7">
        <f t="shared" si="4"/>
        <v>11.6627680377613</v>
      </c>
    </row>
    <row r="8" spans="1:12">
      <c r="A8" s="1" t="s">
        <v>19</v>
      </c>
      <c r="B8" s="3">
        <v>27.4</v>
      </c>
      <c r="C8" s="4">
        <v>3.07</v>
      </c>
      <c r="D8" s="5">
        <v>31</v>
      </c>
      <c r="E8" s="6">
        <v>14</v>
      </c>
      <c r="F8" s="4"/>
      <c r="G8">
        <v>233.3</v>
      </c>
      <c r="H8">
        <f t="shared" si="0"/>
        <v>537.557603686636</v>
      </c>
      <c r="I8">
        <f t="shared" si="1"/>
        <v>378.333041474654</v>
      </c>
      <c r="J8">
        <f t="shared" si="2"/>
        <v>46.3166520737327</v>
      </c>
      <c r="K8">
        <f t="shared" si="3"/>
        <v>33.7521329999102</v>
      </c>
      <c r="L8">
        <f t="shared" si="4"/>
        <v>12.5645190738225</v>
      </c>
    </row>
    <row r="9" spans="1:12">
      <c r="A9" s="1" t="s">
        <v>20</v>
      </c>
      <c r="B9" s="3">
        <v>27.4</v>
      </c>
      <c r="C9" s="4">
        <v>2.69</v>
      </c>
      <c r="D9" s="5">
        <v>31</v>
      </c>
      <c r="E9" s="6">
        <v>14</v>
      </c>
      <c r="F9" s="4"/>
      <c r="G9">
        <v>204.5</v>
      </c>
      <c r="H9">
        <f t="shared" si="0"/>
        <v>471.198156682028</v>
      </c>
      <c r="I9">
        <f t="shared" si="1"/>
        <v>331.629262672811</v>
      </c>
      <c r="J9">
        <f t="shared" si="2"/>
        <v>43.9814631336405</v>
      </c>
      <c r="K9">
        <f t="shared" si="3"/>
        <v>33.2674674924418</v>
      </c>
      <c r="L9">
        <f t="shared" si="4"/>
        <v>10.7139956411987</v>
      </c>
    </row>
    <row r="10" spans="1:12">
      <c r="A10" s="1" t="s">
        <v>21</v>
      </c>
      <c r="B10" s="3">
        <v>24</v>
      </c>
      <c r="C10" s="4">
        <v>2.65</v>
      </c>
      <c r="D10" s="5">
        <v>30</v>
      </c>
      <c r="E10" s="6">
        <v>12</v>
      </c>
      <c r="F10" s="4"/>
      <c r="G10">
        <v>149.9</v>
      </c>
      <c r="H10">
        <f t="shared" si="0"/>
        <v>416.388888888889</v>
      </c>
      <c r="I10">
        <f t="shared" si="1"/>
        <v>293.0545</v>
      </c>
      <c r="J10">
        <f t="shared" si="2"/>
        <v>38.652725</v>
      </c>
      <c r="K10">
        <f t="shared" si="3"/>
        <v>29.2144928825623</v>
      </c>
      <c r="L10">
        <f t="shared" si="4"/>
        <v>9.43823211743772</v>
      </c>
    </row>
    <row r="11" spans="1:12">
      <c r="A11" s="1" t="s">
        <v>22</v>
      </c>
      <c r="B11" s="3">
        <v>20.7</v>
      </c>
      <c r="C11" s="4">
        <v>2.4</v>
      </c>
      <c r="D11" s="5">
        <v>31</v>
      </c>
      <c r="E11" s="6">
        <v>11</v>
      </c>
      <c r="F11" s="4"/>
      <c r="G11">
        <v>113.1</v>
      </c>
      <c r="H11">
        <f t="shared" si="0"/>
        <v>331.671554252199</v>
      </c>
      <c r="I11">
        <f t="shared" si="1"/>
        <v>233.430439882698</v>
      </c>
      <c r="J11">
        <f t="shared" si="2"/>
        <v>32.3715219941349</v>
      </c>
      <c r="K11">
        <f t="shared" si="3"/>
        <v>25.0068346841826</v>
      </c>
      <c r="L11">
        <f t="shared" si="4"/>
        <v>7.36468730995228</v>
      </c>
    </row>
    <row r="12" spans="1:12">
      <c r="A12" s="1" t="s">
        <v>23</v>
      </c>
      <c r="B12" s="3">
        <v>15.8</v>
      </c>
      <c r="C12" s="4">
        <v>2.77</v>
      </c>
      <c r="D12" s="5">
        <v>30</v>
      </c>
      <c r="E12" s="6">
        <v>10</v>
      </c>
      <c r="F12" s="4"/>
      <c r="G12">
        <v>71.4</v>
      </c>
      <c r="H12">
        <f t="shared" si="0"/>
        <v>238</v>
      </c>
      <c r="I12">
        <f t="shared" si="1"/>
        <v>167.5044</v>
      </c>
      <c r="J12">
        <f t="shared" si="2"/>
        <v>24.17522</v>
      </c>
      <c r="K12">
        <f t="shared" si="3"/>
        <v>18.7304478656403</v>
      </c>
      <c r="L12">
        <f t="shared" si="4"/>
        <v>5.4447721343597</v>
      </c>
    </row>
    <row r="13" spans="1:12">
      <c r="A13" s="1" t="s">
        <v>24</v>
      </c>
      <c r="B13" s="3">
        <v>12</v>
      </c>
      <c r="C13" s="4">
        <v>2.99</v>
      </c>
      <c r="D13" s="5">
        <v>31</v>
      </c>
      <c r="E13" s="6">
        <v>10</v>
      </c>
      <c r="F13" s="4"/>
      <c r="G13">
        <v>58</v>
      </c>
      <c r="H13">
        <f t="shared" si="0"/>
        <v>187.096774193548</v>
      </c>
      <c r="I13">
        <f t="shared" si="1"/>
        <v>131.678709677419</v>
      </c>
      <c r="J13">
        <f t="shared" si="2"/>
        <v>18.583935483871</v>
      </c>
      <c r="K13">
        <f t="shared" si="3"/>
        <v>14.2348728730044</v>
      </c>
      <c r="L13">
        <f t="shared" si="4"/>
        <v>4.34906261086656</v>
      </c>
    </row>
    <row r="14" spans="1:12">
      <c r="K14" t="s">
        <v>71</v>
      </c>
      <c r="L14">
        <f>AVERAGE(L2,L3,L4,L5,L6,L7,L8,L9,L10,L11,L12,L13)</f>
        <v>8.52111507063758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Feuille1</vt:lpstr>
      <vt:lpstr>Barrage sidi saad </vt:lpstr>
      <vt:lpstr>Sidi salem </vt:lpstr>
      <vt:lpstr>sidi Barrak</vt:lpstr>
      <vt:lpstr>Bouhertma</vt:lpstr>
      <vt:lpstr>Sejnane</vt:lpstr>
      <vt:lpstr>Tcell terre vs floating saad</vt:lpstr>
      <vt:lpstr>Tcell sidi salem </vt:lpstr>
      <vt:lpstr>Tcell sidi barrek</vt:lpstr>
      <vt:lpstr>Tcell bouhertma</vt:lpstr>
      <vt:lpstr>Tcell Sejnane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</dc:creator>
  <cp:lastModifiedBy>Mayssa Nemri</cp:lastModifiedBy>
  <dcterms:created xsi:type="dcterms:W3CDTF">2026-05-05T15:26:00Z</dcterms:created>
  <dcterms:modified xsi:type="dcterms:W3CDTF">2026-06-09T14:06:30Z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C6EEEAE3F3E74F2BB70C0EF0D451A801_11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1</vt:i4>
  </property>
</Properties>
</file>
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index 5%" sheetId="1" r:id="rId1"/>
    <sheet name="index 2%" sheetId="3" r:id="rId2"/>
    <sheet name="index 8%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<sst xmlns="http://schemas.openxmlformats.org/spreadsheetml/2006/main" count="33" uniqueCount="11">
  <si>
    <t>Année</t>
  </si>
  <si>
    <t>Production (kWh)</t>
  </si>
  <si>
    <t>Prix (TND/kWh)</t>
  </si>
  <si>
    <t>Revenus (TND)</t>
  </si>
  <si>
    <t>OPEX (TND)</t>
  </si>
  <si>
    <t>Annuité crédit (TND)</t>
  </si>
  <si>
    <r>
      <rPr>
        <b/>
        <sz val="11"/>
        <color rgb="FF000000" tint="-0.249977111117893"/>
        <rFont val="Calibri"/>
        <charset val="134"/>
        <scheme val="minor"/>
      </rPr>
      <t>Cash</t>
    </r>
    <r>
      <rPr>
        <b/>
        <sz val="10"/>
        <rFont val="Segoe UI"/>
        <charset val="134"/>
      </rPr>
      <t>‑</t>
    </r>
    <r>
      <rPr>
        <b/>
        <sz val="10"/>
        <rFont val="Calibri"/>
        <charset val="134"/>
      </rPr>
      <t>flow (TND)</t>
    </r>
  </si>
  <si>
    <t>Cash -flow cumulé</t>
  </si>
  <si>
    <t>Flux actualisé (TND)</t>
  </si>
  <si>
    <t>VAN</t>
  </si>
  <si>
    <t>TRI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</si>
</sst>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4">
    <font>
      <sz val="11"/>
      <color theme="1"/>
      <name val="Calibri"/>
      <charset val="134"/>
      <scheme val="minor"/>
    </font>
    <font>
      <b/>
      <sz val="11"/>
      <color rgb="FF000000" tint="-0.249977111117893"/>
      <name val="Calibri"/>
      <charset val="134"/>
      <scheme val="minor"/>
    </font>
    <font>
      <sz val="11"/>
      <color rgb="FF000000" tint="-0.49998474074526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name val="Segoe UI"/>
      <charset val="134"/>
    </font>
    <font>
      <b/>
      <sz val="1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theme="2" tint="-0.1"/>
        <bgColor indexed="64"/>
      </patternFill>
    </fill>
    <fill>
      <patternFill patternType="solid">
        <fgColor theme="0"/>
        <bgColor rgb="FF000000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9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1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9" fontId="2" fillId="3" borderId="3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3" borderId="0" xfId="1" applyNumberFormat="1" applyFont="1" applyFill="1" applyBorder="1" applyAlignment="1">
      <alignment horizontal="center" vertical="center"/>
    </xf>
    <xf numFmtId="0" fontId="2" fillId="3" borderId="0" xfId="3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1" applyNumberFormat="1" applyFont="1" applyFill="1" applyBorder="1" applyAlignment="1">
      <alignment horizontal="center" vertical="center"/>
    </xf>
    <xf numFmtId="0" fontId="2" fillId="0" borderId="4" xfId="3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Évolution du cash-flow cumulé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'index 5%'!$A$1</c:f>
              <c:strCache>
                <c:ptCount val="1"/>
                <c:pt idx="0">
                  <c:v>Année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'index 5%'!$A$2:$A$27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val>
        </c:ser>
        <c:ser>
          <c:idx val="1"/>
          <c:order val="1"/>
          <c:tx>
            <c:strRef>
              <c:f>'index 5%'!$H$1</c:f>
              <c:strCache>
                <c:ptCount val="1"/>
                <c:pt idx="0">
                  <c:v>Cash -flow cumulé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elete val="1"/>
          </c:dLbls>
          <c:val>
            <c:numRef>
              <c:f>'index 5%'!$H$2:$H$27</c:f>
              <c:numCache>
                <c:formatCode>General</c:formatCode>
                <c:ptCount val="26"/>
                <c:pt idx="0">
                  <c:v>-46070000</c:v>
                </c:pt>
                <c:pt idx="1">
                  <c:v>-39230842.253199</c:v>
                </c:pt>
                <c:pt idx="2">
                  <c:v>-31882545.1191945</c:v>
                </c:pt>
                <c:pt idx="3">
                  <c:v>-24001305.0628046</c:v>
                </c:pt>
                <c:pt idx="4">
                  <c:v>-15562218.6479111</c:v>
                </c:pt>
                <c:pt idx="5">
                  <c:v>-6539231.96801605</c:v>
                </c:pt>
                <c:pt idx="6">
                  <c:v>3094912.2431615</c:v>
                </c:pt>
                <c:pt idx="7">
                  <c:v>13368729.9273812</c:v>
                </c:pt>
                <c:pt idx="8">
                  <c:v>24312053.5550719</c:v>
                </c:pt>
                <c:pt idx="9">
                  <c:v>35956092.6323151</c:v>
                </c:pt>
                <c:pt idx="10">
                  <c:v>52081496.9832484</c:v>
                </c:pt>
                <c:pt idx="11">
                  <c:v>68974422.9350859</c:v>
                </c:pt>
                <c:pt idx="12">
                  <c:v>86670602.5387817</c:v>
                </c:pt>
                <c:pt idx="13">
                  <c:v>105207415.964456</c:v>
                </c:pt>
                <c:pt idx="14">
                  <c:v>124623967.217078</c:v>
                </c:pt>
                <c:pt idx="15">
                  <c:v>144961163.324564</c:v>
                </c:pt>
                <c:pt idx="16">
                  <c:v>166261797.157414</c:v>
                </c:pt>
                <c:pt idx="17">
                  <c:v>188570634.046326</c:v>
                </c:pt>
                <c:pt idx="18">
                  <c:v>211934502.371795</c:v>
                </c:pt>
                <c:pt idx="19">
                  <c:v>236402388.307758</c:v>
                </c:pt>
                <c:pt idx="20">
                  <c:v>262025534.909598</c:v>
                </c:pt>
                <c:pt idx="21">
                  <c:v>288857545.745614</c:v>
                </c:pt>
                <c:pt idx="22">
                  <c:v>316954493.280127</c:v>
                </c:pt>
                <c:pt idx="23">
                  <c:v>346375032.225971</c:v>
                </c:pt>
                <c:pt idx="24">
                  <c:v>377180518.094071</c:v>
                </c:pt>
                <c:pt idx="25">
                  <c:v>377180518.094071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6704677"/>
        <c:axId val="383562376"/>
      </c:barChart>
      <c:catAx>
        <c:axId val="79670467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Année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3562376"/>
        <c:crosses val="autoZero"/>
        <c:auto val="1"/>
        <c:lblAlgn val="ctr"/>
        <c:lblOffset val="100"/>
        <c:noMultiLvlLbl val="0"/>
      </c:catAx>
      <c:valAx>
        <c:axId val="38356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Cash-flow cumulé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704677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65e2eef-551b-4126-98f4-cff0860e5b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Évolution du cash-flow cumulé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'index 2%'!$A$1</c:f>
              <c:strCache>
                <c:ptCount val="1"/>
                <c:pt idx="0">
                  <c:v>Année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'index 2%'!$A$2:$A$27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val>
        </c:ser>
        <c:ser>
          <c:idx val="1"/>
          <c:order val="1"/>
          <c:tx>
            <c:strRef>
              <c:f>'index 2%'!$H$1</c:f>
              <c:strCache>
                <c:ptCount val="1"/>
                <c:pt idx="0">
                  <c:v>Cash -flow cumulé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elete val="1"/>
          </c:dLbls>
          <c:val>
            <c:numRef>
              <c:f>'index 2%'!$H$2:$H$27</c:f>
              <c:numCache>
                <c:formatCode>General</c:formatCode>
                <c:ptCount val="26"/>
                <c:pt idx="0">
                  <c:v>-46070000</c:v>
                </c:pt>
                <c:pt idx="1">
                  <c:v>-39560184.7031076</c:v>
                </c:pt>
                <c:pt idx="2">
                  <c:v>-32890899.4849287</c:v>
                </c:pt>
                <c:pt idx="3">
                  <c:v>-26059682.2742811</c:v>
                </c:pt>
                <c:pt idx="4">
                  <c:v>-19064033.337609</c:v>
                </c:pt>
                <c:pt idx="5">
                  <c:v>-11901414.7100733</c:v>
                </c:pt>
                <c:pt idx="6">
                  <c:v>-4569249.61819967</c:v>
                </c:pt>
                <c:pt idx="7">
                  <c:v>2935078.10603989</c:v>
                </c:pt>
                <c:pt idx="8">
                  <c:v>10614224.6198347</c:v>
                </c:pt>
                <c:pt idx="9">
                  <c:v>18470886.6729583</c:v>
                </c:pt>
                <c:pt idx="10">
                  <c:v>30255802.2201332</c:v>
                </c:pt>
                <c:pt idx="11">
                  <c:v>42223751.0424681</c:v>
                </c:pt>
                <c:pt idx="12">
                  <c:v>54377555.3780966</c:v>
                </c:pt>
                <c:pt idx="13">
                  <c:v>66720080.5621511</c:v>
                </c:pt>
                <c:pt idx="14">
                  <c:v>79254235.6762066</c:v>
                </c:pt>
                <c:pt idx="15">
                  <c:v>91982974.2073301</c:v>
                </c:pt>
                <c:pt idx="16">
                  <c:v>104909294.716874</c:v>
                </c:pt>
                <c:pt idx="17">
                  <c:v>118036241.519156</c:v>
                </c:pt>
                <c:pt idx="18">
                  <c:v>131366905.37016</c:v>
                </c:pt>
                <c:pt idx="19">
                  <c:v>144904424.166414</c:v>
                </c:pt>
                <c:pt idx="20">
                  <c:v>158651983.654183</c:v>
                </c:pt>
                <c:pt idx="21">
                  <c:v>172612818.149119</c:v>
                </c:pt>
                <c:pt idx="22">
                  <c:v>186790211.26654</c:v>
                </c:pt>
                <c:pt idx="23">
                  <c:v>201187496.662463</c:v>
                </c:pt>
                <c:pt idx="24">
                  <c:v>215808058.785562</c:v>
                </c:pt>
                <c:pt idx="25">
                  <c:v>215808058.785562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6704677"/>
        <c:axId val="383562376"/>
      </c:barChart>
      <c:catAx>
        <c:axId val="79670467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Année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3562376"/>
        <c:crosses val="autoZero"/>
        <c:auto val="1"/>
        <c:lblAlgn val="ctr"/>
        <c:lblOffset val="100"/>
        <c:noMultiLvlLbl val="0"/>
      </c:catAx>
      <c:valAx>
        <c:axId val="38356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Cash-flow cumulé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704677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65e2eef-551b-4126-98f4-cff0860e5b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Évolution du cash-flow cumulé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'index 8%'!$A$1</c:f>
              <c:strCache>
                <c:ptCount val="1"/>
                <c:pt idx="0">
                  <c:v>Année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'index 8%'!$A$2:$A$27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val>
        </c:ser>
        <c:ser>
          <c:idx val="1"/>
          <c:order val="1"/>
          <c:tx>
            <c:strRef>
              <c:f>'index 8%'!$H$1</c:f>
              <c:strCache>
                <c:ptCount val="1"/>
                <c:pt idx="0">
                  <c:v>Cash -flow cumulé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elete val="1"/>
          </c:dLbls>
          <c:val>
            <c:numRef>
              <c:f>'index 8%'!$H$2:$H$27</c:f>
              <c:numCache>
                <c:formatCode>General</c:formatCode>
                <c:ptCount val="26"/>
                <c:pt idx="0">
                  <c:v>-46070000</c:v>
                </c:pt>
                <c:pt idx="1">
                  <c:v>-38901499.8032904</c:v>
                </c:pt>
                <c:pt idx="2">
                  <c:v>-30854509.2486538</c:v>
                </c:pt>
                <c:pt idx="3">
                  <c:v>-21861497.5933415</c:v>
                </c:pt>
                <c:pt idx="4">
                  <c:v>-11849802.4361444</c:v>
                </c:pt>
                <c:pt idx="5">
                  <c:v>-741240.934843557</c:v>
                </c:pt>
                <c:pt idx="6">
                  <c:v>11548308.4077749</c:v>
                </c:pt>
                <c:pt idx="7">
                  <c:v>25109355.6168799</c:v>
                </c:pt>
                <c:pt idx="8">
                  <c:v>40039283.1736519</c:v>
                </c:pt>
                <c:pt idx="9">
                  <c:v>56442866.5758998</c:v>
                </c:pt>
                <c:pt idx="10">
                  <c:v>78180834.3037691</c:v>
                </c:pt>
                <c:pt idx="11">
                  <c:v>101626470.172897</c:v>
                </c:pt>
                <c:pt idx="12">
                  <c:v>126910261.283088</c:v>
                </c:pt>
                <c:pt idx="13">
                  <c:v>154172595.013353</c:v>
                </c:pt>
                <c:pt idx="14">
                  <c:v>183564508.775358</c:v>
                </c:pt>
                <c:pt idx="15">
                  <c:v>215248496.518204</c:v>
                </c:pt>
                <c:pt idx="16">
                  <c:v>249399376.27971</c:v>
                </c:pt>
                <c:pt idx="17">
                  <c:v>286205223.404373</c:v>
                </c:pt>
                <c:pt idx="18">
                  <c:v>325868374.397892</c:v>
                </c:pt>
                <c:pt idx="19">
                  <c:v>368606506.764233</c:v>
                </c:pt>
                <c:pt idx="20">
                  <c:v>414653800.575801</c:v>
                </c:pt>
                <c:pt idx="21">
                  <c:v>464262187.962528</c:v>
                </c:pt>
                <c:pt idx="22">
                  <c:v>517702697.173772</c:v>
                </c:pt>
                <c:pt idx="23">
                  <c:v>575266898.370553</c:v>
                </c:pt>
                <c:pt idx="24">
                  <c:v>637268458.847305</c:v>
                </c:pt>
                <c:pt idx="25">
                  <c:v>637268458.847305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6704677"/>
        <c:axId val="383562376"/>
      </c:barChart>
      <c:catAx>
        <c:axId val="79670467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Année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3562376"/>
        <c:crosses val="autoZero"/>
        <c:auto val="1"/>
        <c:lblAlgn val="ctr"/>
        <c:lblOffset val="100"/>
        <c:noMultiLvlLbl val="0"/>
      </c:catAx>
      <c:valAx>
        <c:axId val="38356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Cash-flow cumulé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704677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65e2eef-551b-4126-98f4-cff0860e5b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490220</xdr:colOff>
      <xdr:row>28</xdr:row>
      <xdr:rowOff>67310</xdr:rowOff>
    </xdr:from>
    <xdr:to>
      <xdr:col>13</xdr:col>
      <xdr:colOff>544830</xdr:colOff>
      <xdr:row>51</xdr:row>
      <xdr:rowOff>75565</xdr:rowOff>
    </xdr:to>
    <xdr:graphicFrame>
      <xdr:nvGraphicFramePr>
        <xdr:cNvPr id="2" name="Graphique 1"/>
        <xdr:cNvGraphicFramePr/>
      </xdr:nvGraphicFramePr>
      <xdr:xfrm>
        <a:off x="4947920" y="5212715"/>
        <a:ext cx="7377430" cy="4214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490220</xdr:colOff>
      <xdr:row>28</xdr:row>
      <xdr:rowOff>67310</xdr:rowOff>
    </xdr:from>
    <xdr:to>
      <xdr:col>13</xdr:col>
      <xdr:colOff>544830</xdr:colOff>
      <xdr:row>51</xdr:row>
      <xdr:rowOff>75565</xdr:rowOff>
    </xdr:to>
    <xdr:graphicFrame>
      <xdr:nvGraphicFramePr>
        <xdr:cNvPr id="2" name="Graphique 1"/>
        <xdr:cNvGraphicFramePr/>
      </xdr:nvGraphicFramePr>
      <xdr:xfrm>
        <a:off x="4947920" y="5212715"/>
        <a:ext cx="7377430" cy="4214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490220</xdr:colOff>
      <xdr:row>28</xdr:row>
      <xdr:rowOff>67310</xdr:rowOff>
    </xdr:from>
    <xdr:to>
      <xdr:col>13</xdr:col>
      <xdr:colOff>544830</xdr:colOff>
      <xdr:row>51</xdr:row>
      <xdr:rowOff>75565</xdr:rowOff>
    </xdr:to>
    <xdr:graphicFrame>
      <xdr:nvGraphicFramePr>
        <xdr:cNvPr id="2" name="Graphique 1"/>
        <xdr:cNvGraphicFramePr/>
      </xdr:nvGraphicFramePr>
      <xdr:xfrm>
        <a:off x="4947920" y="5212715"/>
        <a:ext cx="7377430" cy="4214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N17" sqref="N17"/>
    </sheetView>
  </sheetViews>
  <sheetFormatPr defaultColWidth="8.88888888888889" defaultRowHeight="14.4"/>
  <cols>
    <col min="2" max="2" width="15.1111111111111" customWidth="1"/>
    <col min="3" max="3" width="14" customWidth="1"/>
    <col min="4" max="4" width="14.1111111111111"/>
    <col min="5" max="5" width="12.8888888888889"/>
    <col min="6" max="6" width="17" customWidth="1"/>
    <col min="7" max="7" width="13.8888888888889" customWidth="1"/>
    <col min="8" max="8" width="16.1111111111111" customWidth="1"/>
    <col min="9" max="9" width="17.5555555555556" customWidth="1"/>
    <col min="10" max="10" width="15.5555555555556"/>
  </cols>
  <sheetData>
    <row r="1" ht="15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>
      <c r="A2" s="3">
        <v>0</v>
      </c>
      <c r="B2" s="3">
        <v>0</v>
      </c>
      <c r="C2" s="3">
        <v>0</v>
      </c>
      <c r="D2" s="3">
        <v>-46070000</v>
      </c>
      <c r="E2" s="3">
        <v>0</v>
      </c>
      <c r="F2" s="4">
        <v>0</v>
      </c>
      <c r="G2" s="3">
        <v>-46070000</v>
      </c>
      <c r="H2" s="3">
        <v>-46070000</v>
      </c>
      <c r="I2" s="5">
        <f>G2/(1+10%)^A3</f>
        <v>-41881818.1818182</v>
      </c>
      <c r="J2" s="6">
        <f>NPV(10%,G3:G27)+G2</f>
        <v>66987894.0004749</v>
      </c>
      <c r="K2" s="7">
        <f>IRR(G2:G27)</f>
        <v>0.207695054902824</v>
      </c>
    </row>
    <row r="3" spans="1:11">
      <c r="A3" s="8">
        <v>1</v>
      </c>
      <c r="B3" s="8">
        <f>35902835*(1-0.004)^(A3-1)</f>
        <v>35902835</v>
      </c>
      <c r="C3" s="8">
        <v>0.307</v>
      </c>
      <c r="D3" s="8">
        <f>B3*C3</f>
        <v>11022170.345</v>
      </c>
      <c r="E3" s="8">
        <v>921400</v>
      </c>
      <c r="F3" s="9">
        <v>3748000</v>
      </c>
      <c r="G3" s="10">
        <f>D3-E3-F3</f>
        <v>6352770.345</v>
      </c>
      <c r="H3" s="8">
        <f>H2+G4</f>
        <v>-39230842.253199</v>
      </c>
      <c r="I3" s="11">
        <f t="shared" ref="I3:I27" si="0">G3/(1+10%)^A4</f>
        <v>5250223.42561983</v>
      </c>
      <c r="J3" s="12"/>
      <c r="K3" s="12"/>
    </row>
    <row r="4" spans="1:11">
      <c r="A4" s="13">
        <v>2</v>
      </c>
      <c r="B4" s="14">
        <f t="shared" ref="B4:B27" si="1">35902835*(1-0.004)^(A4-1)</f>
        <v>35759223.66</v>
      </c>
      <c r="C4" s="13">
        <f>C3*(1+5%)</f>
        <v>0.32235</v>
      </c>
      <c r="D4" s="13">
        <f t="shared" ref="D4:D27" si="2">B4*C4</f>
        <v>11526985.746801</v>
      </c>
      <c r="E4" s="13">
        <f>E3*1.02</f>
        <v>939828</v>
      </c>
      <c r="F4" s="15">
        <f t="shared" ref="F4:F12" si="3">3748000</f>
        <v>3748000</v>
      </c>
      <c r="G4" s="16">
        <f t="shared" ref="G4:G27" si="4">D4-E4-F4</f>
        <v>6839157.746801</v>
      </c>
      <c r="H4" s="14">
        <f t="shared" ref="H4:H27" si="5">H3+G5</f>
        <v>-31882545.1191945</v>
      </c>
      <c r="I4" s="17">
        <f t="shared" si="0"/>
        <v>5138360.44087228</v>
      </c>
      <c r="J4" s="12"/>
      <c r="K4" s="12"/>
    </row>
    <row r="5" spans="1:11">
      <c r="A5" s="8">
        <v>3</v>
      </c>
      <c r="B5" s="8">
        <f t="shared" si="1"/>
        <v>35616186.76536</v>
      </c>
      <c r="C5" s="8">
        <f t="shared" ref="C5:C27" si="6">C4*(1+5%)</f>
        <v>0.3384675</v>
      </c>
      <c r="D5" s="8">
        <f t="shared" si="2"/>
        <v>12054921.6940045</v>
      </c>
      <c r="E5" s="8">
        <f t="shared" ref="E5:E27" si="7">E4*1.02</f>
        <v>958624.56</v>
      </c>
      <c r="F5" s="9">
        <f t="shared" si="3"/>
        <v>3748000</v>
      </c>
      <c r="G5" s="10">
        <f t="shared" si="4"/>
        <v>7348297.13400448</v>
      </c>
      <c r="H5" s="8">
        <f t="shared" si="5"/>
        <v>-24001305.0628046</v>
      </c>
      <c r="I5" s="11">
        <f t="shared" si="0"/>
        <v>5018985.81654565</v>
      </c>
      <c r="J5" s="12"/>
      <c r="K5" s="12"/>
    </row>
    <row r="6" spans="1:11">
      <c r="A6" s="13">
        <v>4</v>
      </c>
      <c r="B6" s="14">
        <f t="shared" si="1"/>
        <v>35473722.0182986</v>
      </c>
      <c r="C6" s="13">
        <f t="shared" si="6"/>
        <v>0.355390875</v>
      </c>
      <c r="D6" s="13">
        <f t="shared" si="2"/>
        <v>12607037.1075899</v>
      </c>
      <c r="E6" s="13">
        <f t="shared" si="7"/>
        <v>977797.0512</v>
      </c>
      <c r="F6" s="15">
        <f t="shared" si="3"/>
        <v>3748000</v>
      </c>
      <c r="G6" s="16">
        <f t="shared" si="4"/>
        <v>7881240.05638991</v>
      </c>
      <c r="H6" s="14">
        <f t="shared" si="5"/>
        <v>-15562218.6479111</v>
      </c>
      <c r="I6" s="17">
        <f t="shared" si="0"/>
        <v>4893630.00316043</v>
      </c>
      <c r="J6" s="12"/>
      <c r="K6" s="12"/>
    </row>
    <row r="7" ht="15" customHeight="1" spans="1:11">
      <c r="A7" s="8">
        <v>5</v>
      </c>
      <c r="B7" s="8">
        <f t="shared" si="1"/>
        <v>35331827.1302254</v>
      </c>
      <c r="C7" s="8">
        <f t="shared" si="6"/>
        <v>0.37316041875</v>
      </c>
      <c r="D7" s="8">
        <f t="shared" si="2"/>
        <v>13184439.4071175</v>
      </c>
      <c r="E7" s="8">
        <f t="shared" si="7"/>
        <v>997352.992224</v>
      </c>
      <c r="F7" s="9">
        <f t="shared" si="3"/>
        <v>3748000</v>
      </c>
      <c r="G7" s="10">
        <f t="shared" si="4"/>
        <v>8439086.41489352</v>
      </c>
      <c r="H7" s="8">
        <f t="shared" si="5"/>
        <v>-6539231.96801605</v>
      </c>
      <c r="I7" s="11">
        <f t="shared" si="0"/>
        <v>4763644.27467839</v>
      </c>
      <c r="J7" s="12"/>
      <c r="K7" s="12"/>
    </row>
    <row r="8" spans="1:11">
      <c r="A8" s="13">
        <v>6</v>
      </c>
      <c r="B8" s="14">
        <f t="shared" si="1"/>
        <v>35190499.8217045</v>
      </c>
      <c r="C8" s="13">
        <f t="shared" si="6"/>
        <v>0.3918184396875</v>
      </c>
      <c r="D8" s="13">
        <f t="shared" si="2"/>
        <v>13788286.7319635</v>
      </c>
      <c r="E8" s="13">
        <f t="shared" si="7"/>
        <v>1017300.05206848</v>
      </c>
      <c r="F8" s="15">
        <f t="shared" si="3"/>
        <v>3748000</v>
      </c>
      <c r="G8" s="16">
        <f t="shared" si="4"/>
        <v>9022986.67989503</v>
      </c>
      <c r="H8" s="14">
        <f t="shared" si="5"/>
        <v>3094912.2431615</v>
      </c>
      <c r="I8" s="17">
        <f t="shared" si="0"/>
        <v>4630218.86547566</v>
      </c>
      <c r="J8" s="12"/>
      <c r="K8" s="12"/>
    </row>
    <row r="9" spans="1:11">
      <c r="A9" s="8">
        <v>7</v>
      </c>
      <c r="B9" s="8">
        <f t="shared" si="1"/>
        <v>35049737.8224176</v>
      </c>
      <c r="C9" s="8">
        <f t="shared" si="6"/>
        <v>0.411409361671875</v>
      </c>
      <c r="D9" s="8">
        <f t="shared" si="2"/>
        <v>14419790.2642874</v>
      </c>
      <c r="E9" s="8">
        <f t="shared" si="7"/>
        <v>1037646.05310985</v>
      </c>
      <c r="F9" s="9">
        <f t="shared" si="3"/>
        <v>3748000</v>
      </c>
      <c r="G9" s="10">
        <f t="shared" si="4"/>
        <v>9634144.21117755</v>
      </c>
      <c r="H9" s="8">
        <f t="shared" si="5"/>
        <v>13368729.9273812</v>
      </c>
      <c r="I9" s="11">
        <f t="shared" si="0"/>
        <v>4494399.37651921</v>
      </c>
      <c r="J9" s="12"/>
      <c r="K9" s="12"/>
    </row>
    <row r="10" spans="1:11">
      <c r="A10" s="13">
        <v>8</v>
      </c>
      <c r="B10" s="14">
        <f t="shared" si="1"/>
        <v>34909538.871128</v>
      </c>
      <c r="C10" s="13">
        <f t="shared" si="6"/>
        <v>0.431979829755469</v>
      </c>
      <c r="D10" s="13">
        <f t="shared" si="2"/>
        <v>15080216.6583918</v>
      </c>
      <c r="E10" s="13">
        <f t="shared" si="7"/>
        <v>1058398.97417205</v>
      </c>
      <c r="F10" s="15">
        <f t="shared" si="3"/>
        <v>3748000</v>
      </c>
      <c r="G10" s="16">
        <f t="shared" si="4"/>
        <v>10273817.6842197</v>
      </c>
      <c r="H10" s="14">
        <f t="shared" si="5"/>
        <v>24312053.5550719</v>
      </c>
      <c r="I10" s="17">
        <f t="shared" si="0"/>
        <v>4357101.61147071</v>
      </c>
      <c r="J10" s="12"/>
      <c r="K10" s="12"/>
    </row>
    <row r="11" spans="1:11">
      <c r="A11" s="8">
        <v>9</v>
      </c>
      <c r="B11" s="8">
        <f t="shared" si="1"/>
        <v>34769900.7156435</v>
      </c>
      <c r="C11" s="8">
        <f t="shared" si="6"/>
        <v>0.453578821243242</v>
      </c>
      <c r="D11" s="8">
        <f t="shared" si="2"/>
        <v>15770890.5813461</v>
      </c>
      <c r="E11" s="8">
        <f t="shared" si="7"/>
        <v>1079566.95365549</v>
      </c>
      <c r="F11" s="9">
        <f t="shared" si="3"/>
        <v>3748000</v>
      </c>
      <c r="G11" s="10">
        <f t="shared" si="4"/>
        <v>10943323.6276907</v>
      </c>
      <c r="H11" s="8">
        <f t="shared" si="5"/>
        <v>35956092.6323151</v>
      </c>
      <c r="I11" s="11">
        <f t="shared" si="0"/>
        <v>4219124.98871177</v>
      </c>
      <c r="J11" s="12"/>
      <c r="K11" s="12"/>
    </row>
    <row r="12" spans="1:11">
      <c r="A12" s="13">
        <v>10</v>
      </c>
      <c r="B12" s="14">
        <f t="shared" si="1"/>
        <v>34630821.1127809</v>
      </c>
      <c r="C12" s="13">
        <f t="shared" si="6"/>
        <v>0.476257762305404</v>
      </c>
      <c r="D12" s="13">
        <f t="shared" si="2"/>
        <v>16493197.3699718</v>
      </c>
      <c r="E12" s="13">
        <f t="shared" si="7"/>
        <v>1101158.2927286</v>
      </c>
      <c r="F12" s="15">
        <f t="shared" si="3"/>
        <v>3748000</v>
      </c>
      <c r="G12" s="16">
        <f t="shared" si="4"/>
        <v>11644039.0772432</v>
      </c>
      <c r="H12" s="14">
        <f t="shared" si="5"/>
        <v>52081496.9832484</v>
      </c>
      <c r="I12" s="17">
        <f t="shared" si="0"/>
        <v>4081164.66189668</v>
      </c>
      <c r="J12" s="12"/>
      <c r="K12" s="12"/>
    </row>
    <row r="13" spans="1:11">
      <c r="A13" s="8">
        <v>11</v>
      </c>
      <c r="B13" s="8">
        <f t="shared" si="1"/>
        <v>34492297.8283298</v>
      </c>
      <c r="C13" s="8">
        <f t="shared" si="6"/>
        <v>0.500070650420675</v>
      </c>
      <c r="D13" s="8">
        <f t="shared" si="2"/>
        <v>17248585.8095165</v>
      </c>
      <c r="E13" s="8">
        <f t="shared" si="7"/>
        <v>1123181.45858317</v>
      </c>
      <c r="F13" s="9">
        <v>0</v>
      </c>
      <c r="G13" s="10">
        <f t="shared" si="4"/>
        <v>16125404.3509333</v>
      </c>
      <c r="H13" s="8">
        <f t="shared" si="5"/>
        <v>68974422.9350859</v>
      </c>
      <c r="I13" s="11">
        <f t="shared" si="0"/>
        <v>5138050.77424803</v>
      </c>
      <c r="J13" s="12"/>
      <c r="K13" s="12"/>
    </row>
    <row r="14" spans="1:11">
      <c r="A14" s="13">
        <v>12</v>
      </c>
      <c r="B14" s="14">
        <f t="shared" si="1"/>
        <v>34354328.6370164</v>
      </c>
      <c r="C14" s="13">
        <f t="shared" si="6"/>
        <v>0.525074182941708</v>
      </c>
      <c r="D14" s="13">
        <f t="shared" si="2"/>
        <v>18038571.0395923</v>
      </c>
      <c r="E14" s="13">
        <f t="shared" si="7"/>
        <v>1145645.08775483</v>
      </c>
      <c r="F14" s="15">
        <v>0</v>
      </c>
      <c r="G14" s="16">
        <f t="shared" si="4"/>
        <v>16892925.9518375</v>
      </c>
      <c r="H14" s="14">
        <f t="shared" si="5"/>
        <v>86670602.5387817</v>
      </c>
      <c r="I14" s="17">
        <f t="shared" si="0"/>
        <v>4893278.9177768</v>
      </c>
      <c r="J14" s="12"/>
      <c r="K14" s="12"/>
    </row>
    <row r="15" spans="1:11">
      <c r="A15" s="8">
        <v>13</v>
      </c>
      <c r="B15" s="8">
        <f t="shared" si="1"/>
        <v>34216911.3224684</v>
      </c>
      <c r="C15" s="8">
        <f t="shared" si="6"/>
        <v>0.551327892088794</v>
      </c>
      <c r="D15" s="8">
        <f t="shared" si="2"/>
        <v>18864737.5932057</v>
      </c>
      <c r="E15" s="8">
        <f t="shared" si="7"/>
        <v>1168557.98950993</v>
      </c>
      <c r="F15" s="9">
        <v>0</v>
      </c>
      <c r="G15" s="10">
        <f t="shared" si="4"/>
        <v>17696179.6036958</v>
      </c>
      <c r="H15" s="8">
        <f t="shared" si="5"/>
        <v>105207415.964456</v>
      </c>
      <c r="I15" s="11">
        <f t="shared" si="0"/>
        <v>4659957.17146687</v>
      </c>
      <c r="J15" s="12"/>
      <c r="K15" s="12"/>
    </row>
    <row r="16" spans="1:11">
      <c r="A16" s="13">
        <v>14</v>
      </c>
      <c r="B16" s="14">
        <f t="shared" si="1"/>
        <v>34080043.6771785</v>
      </c>
      <c r="C16" s="13">
        <f t="shared" si="6"/>
        <v>0.578894286693234</v>
      </c>
      <c r="D16" s="13">
        <f t="shared" si="2"/>
        <v>19728742.5749745</v>
      </c>
      <c r="E16" s="13">
        <f t="shared" si="7"/>
        <v>1191929.14930013</v>
      </c>
      <c r="F16" s="15">
        <v>0</v>
      </c>
      <c r="G16" s="16">
        <f t="shared" si="4"/>
        <v>18536813.4256744</v>
      </c>
      <c r="H16" s="14">
        <f t="shared" si="5"/>
        <v>124623967.217078</v>
      </c>
      <c r="I16" s="17">
        <f t="shared" si="0"/>
        <v>4437565.75474601</v>
      </c>
      <c r="J16" s="12"/>
      <c r="K16" s="12"/>
    </row>
    <row r="17" spans="1:11">
      <c r="A17" s="8">
        <v>15</v>
      </c>
      <c r="B17" s="8">
        <f t="shared" si="1"/>
        <v>33943723.5024698</v>
      </c>
      <c r="C17" s="8">
        <f t="shared" si="6"/>
        <v>0.607839001027895</v>
      </c>
      <c r="D17" s="8">
        <f t="shared" si="2"/>
        <v>20632318.9849083</v>
      </c>
      <c r="E17" s="8">
        <f t="shared" si="7"/>
        <v>1215767.73228613</v>
      </c>
      <c r="F17" s="9">
        <v>0</v>
      </c>
      <c r="G17" s="10">
        <f t="shared" si="4"/>
        <v>19416551.2526222</v>
      </c>
      <c r="H17" s="8">
        <f t="shared" si="5"/>
        <v>144961163.324564</v>
      </c>
      <c r="I17" s="11">
        <f t="shared" si="0"/>
        <v>4225607.2691333</v>
      </c>
      <c r="J17" s="12"/>
      <c r="K17" s="12"/>
    </row>
    <row r="18" spans="1:11">
      <c r="A18" s="13">
        <v>16</v>
      </c>
      <c r="B18" s="14">
        <f t="shared" si="1"/>
        <v>33807948.6084599</v>
      </c>
      <c r="C18" s="13">
        <f t="shared" si="6"/>
        <v>0.63823095107929</v>
      </c>
      <c r="D18" s="13">
        <f t="shared" si="2"/>
        <v>21577279.1944171</v>
      </c>
      <c r="E18" s="13">
        <f t="shared" si="7"/>
        <v>1240083.08693185</v>
      </c>
      <c r="F18" s="15">
        <v>0</v>
      </c>
      <c r="G18" s="16">
        <f t="shared" si="4"/>
        <v>20337196.1074853</v>
      </c>
      <c r="H18" s="14">
        <f t="shared" si="5"/>
        <v>166261797.157414</v>
      </c>
      <c r="I18" s="17">
        <f t="shared" si="0"/>
        <v>4023605.83024254</v>
      </c>
      <c r="J18" s="12"/>
      <c r="K18" s="12"/>
    </row>
    <row r="19" spans="1:11">
      <c r="A19" s="8">
        <v>17</v>
      </c>
      <c r="B19" s="8">
        <f t="shared" si="1"/>
        <v>33672716.8140261</v>
      </c>
      <c r="C19" s="8">
        <f t="shared" si="6"/>
        <v>0.670142498633255</v>
      </c>
      <c r="D19" s="8">
        <f t="shared" si="2"/>
        <v>22565518.5815215</v>
      </c>
      <c r="E19" s="8">
        <f t="shared" si="7"/>
        <v>1264884.74867049</v>
      </c>
      <c r="F19" s="9">
        <v>0</v>
      </c>
      <c r="G19" s="10">
        <f t="shared" si="4"/>
        <v>21300633.832851</v>
      </c>
      <c r="H19" s="8">
        <f t="shared" si="5"/>
        <v>188570634.046326</v>
      </c>
      <c r="I19" s="11">
        <f t="shared" si="0"/>
        <v>3831106.22547583</v>
      </c>
      <c r="J19" s="12"/>
      <c r="K19" s="12"/>
    </row>
    <row r="20" spans="1:11">
      <c r="A20" s="13">
        <v>18</v>
      </c>
      <c r="B20" s="14">
        <f t="shared" si="1"/>
        <v>33538025.94677</v>
      </c>
      <c r="C20" s="13">
        <f t="shared" si="6"/>
        <v>0.703649623564917</v>
      </c>
      <c r="D20" s="13">
        <f t="shared" si="2"/>
        <v>23599019.3325551</v>
      </c>
      <c r="E20" s="13">
        <f t="shared" si="7"/>
        <v>1290182.4436439</v>
      </c>
      <c r="F20" s="15">
        <v>0</v>
      </c>
      <c r="G20" s="16">
        <f t="shared" si="4"/>
        <v>22308836.8889112</v>
      </c>
      <c r="H20" s="14">
        <f t="shared" si="5"/>
        <v>211934502.371795</v>
      </c>
      <c r="I20" s="17">
        <f t="shared" si="0"/>
        <v>3647673.09738327</v>
      </c>
      <c r="J20" s="12"/>
      <c r="K20" s="12"/>
    </row>
    <row r="21" spans="1:11">
      <c r="A21" s="8">
        <v>19</v>
      </c>
      <c r="B21" s="8">
        <f t="shared" si="1"/>
        <v>33403873.8429829</v>
      </c>
      <c r="C21" s="8">
        <f t="shared" si="6"/>
        <v>0.738832104743163</v>
      </c>
      <c r="D21" s="8">
        <f t="shared" si="2"/>
        <v>24679854.4179862</v>
      </c>
      <c r="E21" s="8">
        <f t="shared" si="7"/>
        <v>1315986.09251678</v>
      </c>
      <c r="F21" s="9">
        <v>0</v>
      </c>
      <c r="G21" s="10">
        <f t="shared" si="4"/>
        <v>23363868.3254694</v>
      </c>
      <c r="H21" s="8">
        <f t="shared" si="5"/>
        <v>236402388.307758</v>
      </c>
      <c r="I21" s="11">
        <f t="shared" si="0"/>
        <v>3472890.15257614</v>
      </c>
      <c r="J21" s="12"/>
      <c r="K21" s="12"/>
    </row>
    <row r="22" spans="1:11">
      <c r="A22" s="13">
        <v>20</v>
      </c>
      <c r="B22" s="14">
        <f t="shared" si="1"/>
        <v>33270258.347611</v>
      </c>
      <c r="C22" s="13">
        <f t="shared" si="6"/>
        <v>0.775773709980321</v>
      </c>
      <c r="D22" s="13">
        <f t="shared" si="2"/>
        <v>25810191.7503299</v>
      </c>
      <c r="E22" s="13">
        <f t="shared" si="7"/>
        <v>1342305.81436711</v>
      </c>
      <c r="F22" s="15">
        <v>0</v>
      </c>
      <c r="G22" s="16">
        <f t="shared" si="4"/>
        <v>24467885.9359628</v>
      </c>
      <c r="H22" s="14">
        <f t="shared" si="5"/>
        <v>262025534.909598</v>
      </c>
      <c r="I22" s="17">
        <f t="shared" si="0"/>
        <v>3306359.39600221</v>
      </c>
      <c r="J22" s="12"/>
      <c r="K22" s="12"/>
    </row>
    <row r="23" spans="1:11">
      <c r="A23" s="8">
        <v>21</v>
      </c>
      <c r="B23" s="8">
        <f t="shared" si="1"/>
        <v>33137177.3142205</v>
      </c>
      <c r="C23" s="8">
        <f t="shared" si="6"/>
        <v>0.814562395479338</v>
      </c>
      <c r="D23" s="8">
        <f t="shared" si="2"/>
        <v>26992298.532495</v>
      </c>
      <c r="E23" s="8">
        <f t="shared" si="7"/>
        <v>1369151.93065446</v>
      </c>
      <c r="F23" s="9">
        <v>0</v>
      </c>
      <c r="G23" s="10">
        <f t="shared" si="4"/>
        <v>25623146.6018406</v>
      </c>
      <c r="H23" s="8">
        <f t="shared" si="5"/>
        <v>288857545.745614</v>
      </c>
      <c r="I23" s="11">
        <f t="shared" si="0"/>
        <v>3147700.39032403</v>
      </c>
      <c r="J23" s="12"/>
      <c r="K23" s="12"/>
    </row>
    <row r="24" spans="1:11">
      <c r="A24" s="13">
        <v>22</v>
      </c>
      <c r="B24" s="14">
        <f t="shared" si="1"/>
        <v>33004628.6049636</v>
      </c>
      <c r="C24" s="13">
        <f t="shared" si="6"/>
        <v>0.855290515253305</v>
      </c>
      <c r="D24" s="13">
        <f t="shared" si="2"/>
        <v>28228545.8052833</v>
      </c>
      <c r="E24" s="13">
        <f t="shared" si="7"/>
        <v>1396534.96926755</v>
      </c>
      <c r="F24" s="15">
        <v>0</v>
      </c>
      <c r="G24" s="16">
        <f t="shared" si="4"/>
        <v>26832010.8360157</v>
      </c>
      <c r="H24" s="14">
        <f t="shared" si="5"/>
        <v>316954493.280127</v>
      </c>
      <c r="I24" s="17">
        <f t="shared" si="0"/>
        <v>2996549.54008152</v>
      </c>
      <c r="J24" s="12"/>
      <c r="K24" s="12"/>
    </row>
    <row r="25" spans="1:11">
      <c r="A25" s="8">
        <v>23</v>
      </c>
      <c r="B25" s="8">
        <f t="shared" si="1"/>
        <v>32872610.0905438</v>
      </c>
      <c r="C25" s="8">
        <f t="shared" si="6"/>
        <v>0.89805504101597</v>
      </c>
      <c r="D25" s="8">
        <f t="shared" si="2"/>
        <v>29521413.2031653</v>
      </c>
      <c r="E25" s="8">
        <f t="shared" si="7"/>
        <v>1424465.6686529</v>
      </c>
      <c r="F25" s="9">
        <v>0</v>
      </c>
      <c r="G25" s="10">
        <f t="shared" si="4"/>
        <v>28096947.5345124</v>
      </c>
      <c r="H25" s="8">
        <f t="shared" si="5"/>
        <v>346375032.225971</v>
      </c>
      <c r="I25" s="11">
        <f t="shared" si="0"/>
        <v>2852559.40026906</v>
      </c>
      <c r="J25" s="12"/>
      <c r="K25" s="12"/>
    </row>
    <row r="26" spans="1:11">
      <c r="A26" s="13">
        <v>24</v>
      </c>
      <c r="B26" s="14">
        <f t="shared" si="1"/>
        <v>32741119.6501816</v>
      </c>
      <c r="C26" s="13">
        <f t="shared" si="6"/>
        <v>0.942957793066768</v>
      </c>
      <c r="D26" s="13">
        <f t="shared" si="2"/>
        <v>30873493.9278702</v>
      </c>
      <c r="E26" s="13">
        <f t="shared" si="7"/>
        <v>1452954.98202595</v>
      </c>
      <c r="F26" s="15">
        <v>0</v>
      </c>
      <c r="G26" s="16">
        <f t="shared" si="4"/>
        <v>29420538.9458443</v>
      </c>
      <c r="H26" s="14">
        <f t="shared" si="5"/>
        <v>377180518.094071</v>
      </c>
      <c r="I26" s="17">
        <f t="shared" si="0"/>
        <v>2715398.00891389</v>
      </c>
      <c r="J26" s="12"/>
      <c r="K26" s="12"/>
    </row>
    <row r="27" spans="1:11">
      <c r="A27" s="19">
        <v>25</v>
      </c>
      <c r="B27" s="20">
        <f t="shared" si="1"/>
        <v>32610155.1715809</v>
      </c>
      <c r="C27" s="19">
        <f t="shared" si="6"/>
        <v>0.990105682720107</v>
      </c>
      <c r="D27" s="19">
        <f t="shared" si="2"/>
        <v>32287499.9497667</v>
      </c>
      <c r="E27" s="19">
        <f t="shared" si="7"/>
        <v>1482014.08166647</v>
      </c>
      <c r="F27" s="21">
        <v>0</v>
      </c>
      <c r="G27" s="22">
        <f t="shared" si="4"/>
        <v>30805485.8681003</v>
      </c>
      <c r="H27" s="20">
        <f t="shared" si="5"/>
        <v>377180518.094071</v>
      </c>
      <c r="I27" s="23">
        <f t="shared" si="0"/>
        <v>30805485.8681003</v>
      </c>
      <c r="J27" s="12"/>
      <c r="K27" s="12"/>
    </row>
    <row r="31" spans="1:11">
      <c r="D31">
        <v>342383696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M12" sqref="M12"/>
    </sheetView>
  </sheetViews>
  <sheetFormatPr defaultColWidth="8.88888888888889" defaultRowHeight="14.4"/>
  <cols>
    <col min="2" max="2" width="15.1111111111111" customWidth="1"/>
    <col min="3" max="3" width="14" customWidth="1"/>
    <col min="4" max="4" width="14.1111111111111"/>
    <col min="5" max="5" width="12.8888888888889"/>
    <col min="6" max="6" width="17" customWidth="1"/>
    <col min="7" max="7" width="13.8888888888889" customWidth="1"/>
    <col min="8" max="8" width="16.1111111111111" customWidth="1"/>
    <col min="9" max="9" width="17.5555555555556" customWidth="1"/>
    <col min="10" max="10" width="15.5555555555556"/>
  </cols>
  <sheetData>
    <row r="1" ht="15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>
      <c r="A2" s="3">
        <v>0</v>
      </c>
      <c r="B2" s="3">
        <v>0</v>
      </c>
      <c r="C2" s="3">
        <v>0</v>
      </c>
      <c r="D2" s="3">
        <v>-46070000</v>
      </c>
      <c r="E2" s="3">
        <v>0</v>
      </c>
      <c r="F2" s="4">
        <v>0</v>
      </c>
      <c r="G2" s="3">
        <v>-46070000</v>
      </c>
      <c r="H2" s="3">
        <v>-46070000</v>
      </c>
      <c r="I2" s="5">
        <f t="shared" ref="I2:I27" si="0">G2/(1+10%)^A3</f>
        <v>-41881818.1818182</v>
      </c>
      <c r="J2" s="6">
        <f>NPV(10%,G3:G27)+G2</f>
        <v>34260657.1851025</v>
      </c>
      <c r="K2" s="7">
        <f>IRR(G2:G27)</f>
        <v>0.169887170359592</v>
      </c>
    </row>
    <row r="3" spans="1:11">
      <c r="A3" s="8">
        <v>1</v>
      </c>
      <c r="B3" s="8">
        <f t="shared" ref="B3:B27" si="1">35902835*(1-0.004)^(A3-1)</f>
        <v>35902835</v>
      </c>
      <c r="C3" s="8">
        <v>0.307</v>
      </c>
      <c r="D3" s="8">
        <f t="shared" ref="D3:D27" si="2">B3*C3</f>
        <v>11022170.345</v>
      </c>
      <c r="E3" s="8">
        <v>921400</v>
      </c>
      <c r="F3" s="9">
        <v>3748000</v>
      </c>
      <c r="G3" s="10">
        <f t="shared" ref="G3:G27" si="3">D3-E3-F3</f>
        <v>6352770.345</v>
      </c>
      <c r="H3" s="8">
        <f t="shared" ref="H3:H27" si="4">H2+G4</f>
        <v>-39560184.7031076</v>
      </c>
      <c r="I3" s="11">
        <f t="shared" si="0"/>
        <v>5250223.42561983</v>
      </c>
      <c r="J3" s="12"/>
      <c r="K3" s="12"/>
    </row>
    <row r="4" spans="1:11">
      <c r="A4" s="13">
        <v>2</v>
      </c>
      <c r="B4" s="14">
        <f t="shared" si="1"/>
        <v>35759223.66</v>
      </c>
      <c r="C4" s="13">
        <f>C3*(1+2%)</f>
        <v>0.31314</v>
      </c>
      <c r="D4" s="13">
        <f t="shared" si="2"/>
        <v>11197643.2968924</v>
      </c>
      <c r="E4" s="13">
        <f t="shared" ref="E4:E27" si="5">E3*1.02</f>
        <v>939828</v>
      </c>
      <c r="F4" s="15">
        <f t="shared" ref="F4:F12" si="6">3748000</f>
        <v>3748000</v>
      </c>
      <c r="G4" s="16">
        <f t="shared" si="3"/>
        <v>6509815.2968924</v>
      </c>
      <c r="H4" s="14">
        <f t="shared" si="4"/>
        <v>-32890899.4849287</v>
      </c>
      <c r="I4" s="17">
        <f t="shared" si="0"/>
        <v>4890920.58369076</v>
      </c>
      <c r="J4" s="12"/>
      <c r="K4" s="12"/>
    </row>
    <row r="5" spans="1:11">
      <c r="A5" s="8">
        <v>3</v>
      </c>
      <c r="B5" s="8">
        <f t="shared" si="1"/>
        <v>35616186.76536</v>
      </c>
      <c r="C5" s="18">
        <f t="shared" ref="C5:C27" si="7">C4*(1+2%)</f>
        <v>0.3194028</v>
      </c>
      <c r="D5" s="8">
        <f t="shared" si="2"/>
        <v>11375909.7781789</v>
      </c>
      <c r="E5" s="8">
        <f t="shared" si="5"/>
        <v>958624.56</v>
      </c>
      <c r="F5" s="9">
        <f t="shared" si="6"/>
        <v>3748000</v>
      </c>
      <c r="G5" s="10">
        <f t="shared" si="3"/>
        <v>6669285.21817893</v>
      </c>
      <c r="H5" s="8">
        <f t="shared" si="4"/>
        <v>-26059682.2742811</v>
      </c>
      <c r="I5" s="11">
        <f t="shared" si="0"/>
        <v>4555211.54168358</v>
      </c>
      <c r="J5" s="12"/>
      <c r="K5" s="12"/>
    </row>
    <row r="6" spans="1:11">
      <c r="A6" s="13">
        <v>4</v>
      </c>
      <c r="B6" s="14">
        <f t="shared" si="1"/>
        <v>35473722.0182986</v>
      </c>
      <c r="C6" s="13">
        <f t="shared" si="7"/>
        <v>0.325790856</v>
      </c>
      <c r="D6" s="13">
        <f t="shared" si="2"/>
        <v>11557014.2618475</v>
      </c>
      <c r="E6" s="13">
        <f t="shared" si="5"/>
        <v>977797.0512</v>
      </c>
      <c r="F6" s="15">
        <f t="shared" si="6"/>
        <v>3748000</v>
      </c>
      <c r="G6" s="16">
        <f t="shared" si="3"/>
        <v>6831217.21064753</v>
      </c>
      <c r="H6" s="14">
        <f t="shared" si="4"/>
        <v>-19064033.337609</v>
      </c>
      <c r="I6" s="17">
        <f t="shared" si="0"/>
        <v>4241648.42853974</v>
      </c>
      <c r="J6" s="12"/>
      <c r="K6" s="12"/>
    </row>
    <row r="7" ht="15" customHeight="1" spans="1:11">
      <c r="A7" s="8">
        <v>5</v>
      </c>
      <c r="B7" s="8">
        <f t="shared" si="1"/>
        <v>35331827.1302254</v>
      </c>
      <c r="C7" s="18">
        <f t="shared" si="7"/>
        <v>0.33230667312</v>
      </c>
      <c r="D7" s="8">
        <f t="shared" si="2"/>
        <v>11741001.9288961</v>
      </c>
      <c r="E7" s="8">
        <f t="shared" si="5"/>
        <v>997352.992224</v>
      </c>
      <c r="F7" s="9">
        <f t="shared" si="6"/>
        <v>3748000</v>
      </c>
      <c r="G7" s="10">
        <f t="shared" si="3"/>
        <v>6995648.93667215</v>
      </c>
      <c r="H7" s="8">
        <f t="shared" si="4"/>
        <v>-11901414.7100733</v>
      </c>
      <c r="I7" s="11">
        <f t="shared" si="0"/>
        <v>3948861.44855986</v>
      </c>
      <c r="J7" s="12"/>
      <c r="K7" s="12"/>
    </row>
    <row r="8" spans="1:11">
      <c r="A8" s="13">
        <v>6</v>
      </c>
      <c r="B8" s="14">
        <f t="shared" si="1"/>
        <v>35190499.8217045</v>
      </c>
      <c r="C8" s="13">
        <f t="shared" si="7"/>
        <v>0.3389528065824</v>
      </c>
      <c r="D8" s="13">
        <f t="shared" si="2"/>
        <v>11927918.6796042</v>
      </c>
      <c r="E8" s="13">
        <f t="shared" si="5"/>
        <v>1017300.05206848</v>
      </c>
      <c r="F8" s="15">
        <f t="shared" si="6"/>
        <v>3748000</v>
      </c>
      <c r="G8" s="16">
        <f t="shared" si="3"/>
        <v>7162618.6275357</v>
      </c>
      <c r="H8" s="14">
        <f t="shared" si="4"/>
        <v>-4569249.61819967</v>
      </c>
      <c r="I8" s="17">
        <f t="shared" si="0"/>
        <v>3675555.89651042</v>
      </c>
      <c r="J8" s="12"/>
      <c r="K8" s="12"/>
    </row>
    <row r="9" spans="1:11">
      <c r="A9" s="8">
        <v>7</v>
      </c>
      <c r="B9" s="8">
        <f t="shared" si="1"/>
        <v>35049737.8224176</v>
      </c>
      <c r="C9" s="18">
        <f t="shared" si="7"/>
        <v>0.345731862714048</v>
      </c>
      <c r="D9" s="8">
        <f t="shared" si="2"/>
        <v>12117811.1449835</v>
      </c>
      <c r="E9" s="8">
        <f t="shared" si="5"/>
        <v>1037646.05310985</v>
      </c>
      <c r="F9" s="9">
        <f t="shared" si="6"/>
        <v>3748000</v>
      </c>
      <c r="G9" s="10">
        <f t="shared" si="3"/>
        <v>7332165.09187362</v>
      </c>
      <c r="H9" s="8">
        <f t="shared" si="4"/>
        <v>2935078.10603989</v>
      </c>
      <c r="I9" s="11">
        <f t="shared" si="0"/>
        <v>3420509.12827522</v>
      </c>
      <c r="J9" s="12"/>
      <c r="K9" s="12"/>
    </row>
    <row r="10" spans="1:11">
      <c r="A10" s="13">
        <v>8</v>
      </c>
      <c r="B10" s="14">
        <f t="shared" si="1"/>
        <v>34909538.871128</v>
      </c>
      <c r="C10" s="13">
        <f t="shared" si="7"/>
        <v>0.352646499968329</v>
      </c>
      <c r="D10" s="13">
        <f t="shared" si="2"/>
        <v>12310726.6984116</v>
      </c>
      <c r="E10" s="13">
        <f t="shared" si="5"/>
        <v>1058398.97417205</v>
      </c>
      <c r="F10" s="15">
        <f t="shared" si="6"/>
        <v>3748000</v>
      </c>
      <c r="G10" s="16">
        <f t="shared" si="3"/>
        <v>7504327.72423957</v>
      </c>
      <c r="H10" s="14">
        <f t="shared" si="4"/>
        <v>10614224.6198347</v>
      </c>
      <c r="I10" s="17">
        <f t="shared" si="0"/>
        <v>3182567.51533661</v>
      </c>
      <c r="J10" s="12"/>
      <c r="K10" s="12"/>
    </row>
    <row r="11" spans="1:11">
      <c r="A11" s="8">
        <v>9</v>
      </c>
      <c r="B11" s="8">
        <f t="shared" si="1"/>
        <v>34769900.7156435</v>
      </c>
      <c r="C11" s="18">
        <f t="shared" si="7"/>
        <v>0.359699429967696</v>
      </c>
      <c r="D11" s="8">
        <f t="shared" si="2"/>
        <v>12506713.4674503</v>
      </c>
      <c r="E11" s="8">
        <f t="shared" si="5"/>
        <v>1079566.95365549</v>
      </c>
      <c r="F11" s="9">
        <f t="shared" si="6"/>
        <v>3748000</v>
      </c>
      <c r="G11" s="10">
        <f t="shared" si="3"/>
        <v>7679146.51379484</v>
      </c>
      <c r="H11" s="8">
        <f t="shared" si="4"/>
        <v>18470886.6729583</v>
      </c>
      <c r="I11" s="11">
        <f t="shared" si="0"/>
        <v>2960643.40693978</v>
      </c>
      <c r="J11" s="12"/>
      <c r="K11" s="12"/>
    </row>
    <row r="12" spans="1:11">
      <c r="A12" s="13">
        <v>10</v>
      </c>
      <c r="B12" s="14">
        <f t="shared" si="1"/>
        <v>34630821.1127809</v>
      </c>
      <c r="C12" s="13">
        <f t="shared" si="7"/>
        <v>0.36689341856705</v>
      </c>
      <c r="D12" s="13">
        <f t="shared" si="2"/>
        <v>12705820.3458521</v>
      </c>
      <c r="E12" s="13">
        <f t="shared" si="5"/>
        <v>1101158.2927286</v>
      </c>
      <c r="F12" s="15">
        <f t="shared" si="6"/>
        <v>3748000</v>
      </c>
      <c r="G12" s="16">
        <f t="shared" si="3"/>
        <v>7856662.05312354</v>
      </c>
      <c r="H12" s="14">
        <f t="shared" si="4"/>
        <v>30255802.2201332</v>
      </c>
      <c r="I12" s="17">
        <f t="shared" si="0"/>
        <v>2753712.11990675</v>
      </c>
      <c r="J12" s="12"/>
      <c r="K12" s="12"/>
    </row>
    <row r="13" spans="1:11">
      <c r="A13" s="8">
        <v>11</v>
      </c>
      <c r="B13" s="8">
        <f t="shared" si="1"/>
        <v>34492297.8283298</v>
      </c>
      <c r="C13" s="18">
        <f t="shared" si="7"/>
        <v>0.374231286938391</v>
      </c>
      <c r="D13" s="8">
        <f t="shared" si="2"/>
        <v>12908097.0057581</v>
      </c>
      <c r="E13" s="8">
        <f t="shared" si="5"/>
        <v>1123181.45858317</v>
      </c>
      <c r="F13" s="9">
        <v>0</v>
      </c>
      <c r="G13" s="10">
        <f t="shared" si="3"/>
        <v>11784915.5471749</v>
      </c>
      <c r="H13" s="8">
        <f t="shared" si="4"/>
        <v>42223751.0424681</v>
      </c>
      <c r="I13" s="11">
        <f t="shared" si="0"/>
        <v>3755037.27744384</v>
      </c>
      <c r="J13" s="12"/>
      <c r="K13" s="12"/>
    </row>
    <row r="14" spans="1:11">
      <c r="A14" s="13">
        <v>12</v>
      </c>
      <c r="B14" s="14">
        <f t="shared" si="1"/>
        <v>34354328.6370164</v>
      </c>
      <c r="C14" s="13">
        <f t="shared" si="7"/>
        <v>0.381715912677158</v>
      </c>
      <c r="D14" s="13">
        <f t="shared" si="2"/>
        <v>13113593.9100898</v>
      </c>
      <c r="E14" s="13">
        <f t="shared" si="5"/>
        <v>1145645.08775483</v>
      </c>
      <c r="F14" s="15">
        <v>0</v>
      </c>
      <c r="G14" s="16">
        <f t="shared" si="3"/>
        <v>11967948.8223349</v>
      </c>
      <c r="H14" s="14">
        <f t="shared" si="4"/>
        <v>54377555.3780966</v>
      </c>
      <c r="I14" s="17">
        <f t="shared" si="0"/>
        <v>3466688.47234207</v>
      </c>
      <c r="J14" s="12"/>
      <c r="K14" s="12"/>
    </row>
    <row r="15" spans="1:11">
      <c r="A15" s="8">
        <v>13</v>
      </c>
      <c r="B15" s="8">
        <f t="shared" si="1"/>
        <v>34216911.3224684</v>
      </c>
      <c r="C15" s="18">
        <f t="shared" si="7"/>
        <v>0.389350230930701</v>
      </c>
      <c r="D15" s="8">
        <f t="shared" si="2"/>
        <v>13322362.3251384</v>
      </c>
      <c r="E15" s="8">
        <f t="shared" si="5"/>
        <v>1168557.98950993</v>
      </c>
      <c r="F15" s="9">
        <v>0</v>
      </c>
      <c r="G15" s="10">
        <f t="shared" si="3"/>
        <v>12153804.3356285</v>
      </c>
      <c r="H15" s="8">
        <f t="shared" si="4"/>
        <v>66720080.5621511</v>
      </c>
      <c r="I15" s="11">
        <f t="shared" si="0"/>
        <v>3200476.54029171</v>
      </c>
      <c r="J15" s="12"/>
      <c r="K15" s="12"/>
    </row>
    <row r="16" spans="1:11">
      <c r="A16" s="13">
        <v>14</v>
      </c>
      <c r="B16" s="14">
        <f t="shared" si="1"/>
        <v>34080043.6771785</v>
      </c>
      <c r="C16" s="13">
        <f t="shared" si="7"/>
        <v>0.397137235549316</v>
      </c>
      <c r="D16" s="13">
        <f t="shared" si="2"/>
        <v>13534454.3333546</v>
      </c>
      <c r="E16" s="13">
        <f t="shared" si="5"/>
        <v>1191929.14930013</v>
      </c>
      <c r="F16" s="15">
        <v>0</v>
      </c>
      <c r="G16" s="16">
        <f t="shared" si="3"/>
        <v>12342525.1840545</v>
      </c>
      <c r="H16" s="14">
        <f t="shared" si="4"/>
        <v>79254235.6762066</v>
      </c>
      <c r="I16" s="17">
        <f t="shared" si="0"/>
        <v>2954702.39820131</v>
      </c>
      <c r="J16" s="12"/>
      <c r="K16" s="12"/>
    </row>
    <row r="17" spans="1:11">
      <c r="A17" s="8">
        <v>15</v>
      </c>
      <c r="B17" s="8">
        <f t="shared" si="1"/>
        <v>33943723.5024698</v>
      </c>
      <c r="C17" s="18">
        <f t="shared" si="7"/>
        <v>0.405079980260302</v>
      </c>
      <c r="D17" s="8">
        <f t="shared" si="2"/>
        <v>13749922.8463416</v>
      </c>
      <c r="E17" s="8">
        <f t="shared" si="5"/>
        <v>1215767.73228613</v>
      </c>
      <c r="F17" s="9">
        <v>0</v>
      </c>
      <c r="G17" s="10">
        <f t="shared" si="3"/>
        <v>12534155.1140555</v>
      </c>
      <c r="H17" s="8">
        <f t="shared" si="4"/>
        <v>91982974.2073301</v>
      </c>
      <c r="I17" s="11">
        <f t="shared" si="0"/>
        <v>2727797.34533156</v>
      </c>
      <c r="J17" s="12"/>
      <c r="K17" s="12"/>
    </row>
    <row r="18" spans="1:11">
      <c r="A18" s="13">
        <v>16</v>
      </c>
      <c r="B18" s="14">
        <f t="shared" si="1"/>
        <v>33807948.6084599</v>
      </c>
      <c r="C18" s="13">
        <f t="shared" si="7"/>
        <v>0.413181579865508</v>
      </c>
      <c r="D18" s="13">
        <f t="shared" si="2"/>
        <v>13968821.6180554</v>
      </c>
      <c r="E18" s="13">
        <f t="shared" si="5"/>
        <v>1240083.08693185</v>
      </c>
      <c r="F18" s="15">
        <v>0</v>
      </c>
      <c r="G18" s="16">
        <f t="shared" si="3"/>
        <v>12728738.5311235</v>
      </c>
      <c r="H18" s="14">
        <f t="shared" si="4"/>
        <v>104909294.716874</v>
      </c>
      <c r="I18" s="17">
        <f t="shared" si="0"/>
        <v>2518313.06020652</v>
      </c>
      <c r="J18" s="12"/>
      <c r="K18" s="12"/>
    </row>
    <row r="19" spans="1:11">
      <c r="A19" s="8">
        <v>17</v>
      </c>
      <c r="B19" s="8">
        <f t="shared" si="1"/>
        <v>33672716.8140261</v>
      </c>
      <c r="C19" s="18">
        <f t="shared" si="7"/>
        <v>0.421445211462818</v>
      </c>
      <c r="D19" s="8">
        <f t="shared" si="2"/>
        <v>14191205.2582148</v>
      </c>
      <c r="E19" s="8">
        <f t="shared" si="5"/>
        <v>1264884.74867049</v>
      </c>
      <c r="F19" s="9">
        <v>0</v>
      </c>
      <c r="G19" s="10">
        <f t="shared" si="3"/>
        <v>12926320.5095443</v>
      </c>
      <c r="H19" s="8">
        <f t="shared" si="4"/>
        <v>118036241.519156</v>
      </c>
      <c r="I19" s="11">
        <f t="shared" si="0"/>
        <v>2324912.36482529</v>
      </c>
      <c r="J19" s="12"/>
      <c r="K19" s="12"/>
    </row>
    <row r="20" spans="1:11">
      <c r="A20" s="13">
        <v>18</v>
      </c>
      <c r="B20" s="14">
        <f t="shared" si="1"/>
        <v>33538025.94677</v>
      </c>
      <c r="C20" s="13">
        <f t="shared" si="7"/>
        <v>0.429874115692074</v>
      </c>
      <c r="D20" s="13">
        <f t="shared" si="2"/>
        <v>14417129.2459256</v>
      </c>
      <c r="E20" s="13">
        <f t="shared" si="5"/>
        <v>1290182.4436439</v>
      </c>
      <c r="F20" s="15">
        <v>0</v>
      </c>
      <c r="G20" s="16">
        <f t="shared" si="3"/>
        <v>13126946.8022817</v>
      </c>
      <c r="H20" s="14">
        <f t="shared" si="4"/>
        <v>131366905.37016</v>
      </c>
      <c r="I20" s="17">
        <f t="shared" si="0"/>
        <v>2146360.69732819</v>
      </c>
      <c r="J20" s="12"/>
      <c r="K20" s="12"/>
    </row>
    <row r="21" spans="1:11">
      <c r="A21" s="8">
        <v>19</v>
      </c>
      <c r="B21" s="8">
        <f t="shared" si="1"/>
        <v>33403873.8429829</v>
      </c>
      <c r="C21" s="18">
        <f t="shared" si="7"/>
        <v>0.438471598005916</v>
      </c>
      <c r="D21" s="8">
        <f t="shared" si="2"/>
        <v>14646649.9435207</v>
      </c>
      <c r="E21" s="8">
        <f t="shared" si="5"/>
        <v>1315986.09251678</v>
      </c>
      <c r="F21" s="9">
        <v>0</v>
      </c>
      <c r="G21" s="10">
        <f t="shared" si="3"/>
        <v>13330663.8510039</v>
      </c>
      <c r="H21" s="8">
        <f t="shared" si="4"/>
        <v>144904424.166414</v>
      </c>
      <c r="I21" s="11">
        <f t="shared" si="0"/>
        <v>1981518.23878353</v>
      </c>
      <c r="J21" s="12"/>
      <c r="K21" s="12"/>
    </row>
    <row r="22" spans="1:11">
      <c r="A22" s="13">
        <v>20</v>
      </c>
      <c r="B22" s="14">
        <f t="shared" si="1"/>
        <v>33270258.347611</v>
      </c>
      <c r="C22" s="13">
        <f t="shared" si="7"/>
        <v>0.447241029966034</v>
      </c>
      <c r="D22" s="13">
        <f t="shared" si="2"/>
        <v>14879824.6106216</v>
      </c>
      <c r="E22" s="13">
        <f t="shared" si="5"/>
        <v>1342305.81436711</v>
      </c>
      <c r="F22" s="15">
        <v>0</v>
      </c>
      <c r="G22" s="16">
        <f t="shared" si="3"/>
        <v>13537518.7962545</v>
      </c>
      <c r="H22" s="14">
        <f t="shared" si="4"/>
        <v>158651983.654183</v>
      </c>
      <c r="I22" s="17">
        <f t="shared" si="0"/>
        <v>1829332.64392754</v>
      </c>
      <c r="J22" s="12"/>
      <c r="K22" s="12"/>
    </row>
    <row r="23" spans="1:11">
      <c r="A23" s="8">
        <v>21</v>
      </c>
      <c r="B23" s="8">
        <f t="shared" si="1"/>
        <v>33137177.3142205</v>
      </c>
      <c r="C23" s="18">
        <f t="shared" si="7"/>
        <v>0.456185850565355</v>
      </c>
      <c r="D23" s="8">
        <f t="shared" si="2"/>
        <v>15116711.4184227</v>
      </c>
      <c r="E23" s="8">
        <f t="shared" si="5"/>
        <v>1369151.93065446</v>
      </c>
      <c r="F23" s="9">
        <v>0</v>
      </c>
      <c r="G23" s="10">
        <f t="shared" si="3"/>
        <v>13747559.4877682</v>
      </c>
      <c r="H23" s="8">
        <f t="shared" si="4"/>
        <v>172612818.149119</v>
      </c>
      <c r="I23" s="11">
        <f t="shared" si="0"/>
        <v>1688832.32953686</v>
      </c>
      <c r="J23" s="12"/>
      <c r="K23" s="12"/>
    </row>
    <row r="24" spans="1:11">
      <c r="A24" s="13">
        <v>22</v>
      </c>
      <c r="B24" s="14">
        <f t="shared" si="1"/>
        <v>33004628.6049636</v>
      </c>
      <c r="C24" s="13">
        <f t="shared" si="7"/>
        <v>0.465309567576662</v>
      </c>
      <c r="D24" s="13">
        <f t="shared" si="2"/>
        <v>15357369.464204</v>
      </c>
      <c r="E24" s="13">
        <f t="shared" si="5"/>
        <v>1396534.96926755</v>
      </c>
      <c r="F24" s="15">
        <v>0</v>
      </c>
      <c r="G24" s="16">
        <f t="shared" si="3"/>
        <v>13960834.4949364</v>
      </c>
      <c r="H24" s="14">
        <f t="shared" si="4"/>
        <v>186790211.26654</v>
      </c>
      <c r="I24" s="17">
        <f t="shared" si="0"/>
        <v>1559120.27766488</v>
      </c>
      <c r="J24" s="12"/>
      <c r="K24" s="12"/>
    </row>
    <row r="25" spans="1:11">
      <c r="A25" s="8">
        <v>23</v>
      </c>
      <c r="B25" s="8">
        <f t="shared" si="1"/>
        <v>32872610.0905438</v>
      </c>
      <c r="C25" s="18">
        <f t="shared" si="7"/>
        <v>0.474615758928195</v>
      </c>
      <c r="D25" s="8">
        <f t="shared" si="2"/>
        <v>15601858.7860741</v>
      </c>
      <c r="E25" s="8">
        <f t="shared" si="5"/>
        <v>1424465.6686529</v>
      </c>
      <c r="F25" s="9">
        <v>0</v>
      </c>
      <c r="G25" s="10">
        <f t="shared" si="3"/>
        <v>14177393.1174212</v>
      </c>
      <c r="H25" s="8">
        <f t="shared" si="4"/>
        <v>201187496.662463</v>
      </c>
      <c r="I25" s="11">
        <f t="shared" si="0"/>
        <v>1439368.31425313</v>
      </c>
      <c r="J25" s="12"/>
      <c r="K25" s="12"/>
    </row>
    <row r="26" spans="1:11">
      <c r="A26" s="13">
        <v>24</v>
      </c>
      <c r="B26" s="14">
        <f t="shared" si="1"/>
        <v>32741119.6501816</v>
      </c>
      <c r="C26" s="13">
        <f t="shared" si="7"/>
        <v>0.484108074106759</v>
      </c>
      <c r="D26" s="13">
        <f t="shared" si="2"/>
        <v>15850240.3779484</v>
      </c>
      <c r="E26" s="13">
        <f t="shared" si="5"/>
        <v>1452954.98202595</v>
      </c>
      <c r="F26" s="15">
        <v>0</v>
      </c>
      <c r="G26" s="16">
        <f t="shared" si="3"/>
        <v>14397285.3959224</v>
      </c>
      <c r="H26" s="14">
        <f t="shared" si="4"/>
        <v>215808058.785562</v>
      </c>
      <c r="I26" s="17">
        <f t="shared" si="0"/>
        <v>1328811.82665673</v>
      </c>
      <c r="J26" s="12"/>
      <c r="K26" s="12"/>
    </row>
    <row r="27" spans="1:11">
      <c r="A27" s="19">
        <v>25</v>
      </c>
      <c r="B27" s="20">
        <f t="shared" si="1"/>
        <v>32610155.1715809</v>
      </c>
      <c r="C27" s="18">
        <f t="shared" si="7"/>
        <v>0.493790235588894</v>
      </c>
      <c r="D27" s="19">
        <f t="shared" si="2"/>
        <v>16102576.2047653</v>
      </c>
      <c r="E27" s="19">
        <f t="shared" si="5"/>
        <v>1482014.08166647</v>
      </c>
      <c r="F27" s="21">
        <v>0</v>
      </c>
      <c r="G27" s="22">
        <f t="shared" si="3"/>
        <v>14620562.1230988</v>
      </c>
      <c r="H27" s="20">
        <f t="shared" si="4"/>
        <v>215808058.785562</v>
      </c>
      <c r="I27" s="23">
        <f t="shared" si="0"/>
        <v>14620562.1230988</v>
      </c>
      <c r="J27" s="12"/>
      <c r="K27" s="12"/>
    </row>
    <row r="31" spans="1:11">
      <c r="D31">
        <v>342383696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N12" sqref="N12"/>
    </sheetView>
  </sheetViews>
  <sheetFormatPr defaultColWidth="8.88888888888889" defaultRowHeight="14.4"/>
  <cols>
    <col min="2" max="2" width="15.1111111111111" customWidth="1"/>
    <col min="3" max="3" width="14" customWidth="1"/>
    <col min="4" max="4" width="14.1111111111111"/>
    <col min="5" max="5" width="12.8888888888889"/>
    <col min="6" max="6" width="17" customWidth="1"/>
    <col min="7" max="7" width="13.8888888888889" customWidth="1"/>
    <col min="8" max="8" width="16.1111111111111" customWidth="1"/>
    <col min="9" max="9" width="17.5555555555556" customWidth="1"/>
    <col min="10" max="10" width="15.5555555555556"/>
  </cols>
  <sheetData>
    <row r="1" ht="15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>
      <c r="A2" s="3">
        <v>0</v>
      </c>
      <c r="B2" s="3">
        <v>0</v>
      </c>
      <c r="C2" s="3">
        <v>0</v>
      </c>
      <c r="D2" s="3">
        <v>-46070000</v>
      </c>
      <c r="E2" s="3">
        <v>0</v>
      </c>
      <c r="F2" s="4">
        <v>0</v>
      </c>
      <c r="G2" s="3">
        <v>-46070000</v>
      </c>
      <c r="H2" s="3">
        <v>-46070000</v>
      </c>
      <c r="I2" s="5">
        <f t="shared" ref="I2:I27" si="0">G2/(1+10%)^A3</f>
        <v>-41881818.1818182</v>
      </c>
      <c r="J2" s="6">
        <f>NPV(10%,G3:G27)+G2</f>
        <v>115183408.167735</v>
      </c>
      <c r="K2" s="7">
        <f>IRR(G2:G27)</f>
        <v>0.243895108897662</v>
      </c>
    </row>
    <row r="3" spans="1:11">
      <c r="A3" s="8">
        <v>1</v>
      </c>
      <c r="B3" s="8">
        <f t="shared" ref="B3:B27" si="1">35902835*(1-0.004)^(A3-1)</f>
        <v>35902835</v>
      </c>
      <c r="C3" s="8">
        <v>0.307</v>
      </c>
      <c r="D3" s="8">
        <f t="shared" ref="D3:D27" si="2">B3*C3</f>
        <v>11022170.345</v>
      </c>
      <c r="E3" s="8">
        <v>921400</v>
      </c>
      <c r="F3" s="9">
        <v>3748000</v>
      </c>
      <c r="G3" s="10">
        <f t="shared" ref="G3:G27" si="3">D3-E3-F3</f>
        <v>6352770.345</v>
      </c>
      <c r="H3" s="8">
        <f t="shared" ref="H3:H27" si="4">H2+G4</f>
        <v>-38901499.8032904</v>
      </c>
      <c r="I3" s="11">
        <f t="shared" si="0"/>
        <v>5250223.42561983</v>
      </c>
      <c r="J3" s="12"/>
      <c r="K3" s="12"/>
    </row>
    <row r="4" spans="1:11">
      <c r="A4" s="13">
        <v>2</v>
      </c>
      <c r="B4" s="14">
        <f t="shared" si="1"/>
        <v>35759223.66</v>
      </c>
      <c r="C4" s="13">
        <f>C3*(1+8%)</f>
        <v>0.33156</v>
      </c>
      <c r="D4" s="13">
        <f t="shared" si="2"/>
        <v>11856328.1967096</v>
      </c>
      <c r="E4" s="13">
        <f t="shared" ref="E4:E27" si="5">E3*1.02</f>
        <v>939828</v>
      </c>
      <c r="F4" s="15">
        <f t="shared" ref="F4:F12" si="6">3748000</f>
        <v>3748000</v>
      </c>
      <c r="G4" s="16">
        <f t="shared" si="3"/>
        <v>7168500.1967096</v>
      </c>
      <c r="H4" s="14">
        <f t="shared" si="4"/>
        <v>-30854509.2486538</v>
      </c>
      <c r="I4" s="17">
        <f t="shared" si="0"/>
        <v>5385800.29805379</v>
      </c>
      <c r="J4" s="12"/>
      <c r="K4" s="12"/>
    </row>
    <row r="5" spans="1:11">
      <c r="A5" s="8">
        <v>3</v>
      </c>
      <c r="B5" s="8">
        <f t="shared" si="1"/>
        <v>35616186.76536</v>
      </c>
      <c r="C5" s="18">
        <f t="shared" ref="C5:C27" si="7">C4*(1+8%)</f>
        <v>0.3580848</v>
      </c>
      <c r="D5" s="8">
        <f t="shared" si="2"/>
        <v>12753615.1146366</v>
      </c>
      <c r="E5" s="8">
        <f t="shared" si="5"/>
        <v>958624.56</v>
      </c>
      <c r="F5" s="9">
        <f t="shared" si="6"/>
        <v>3748000</v>
      </c>
      <c r="G5" s="10">
        <f t="shared" si="3"/>
        <v>8046990.55463658</v>
      </c>
      <c r="H5" s="8">
        <f t="shared" si="4"/>
        <v>-21861497.5933415</v>
      </c>
      <c r="I5" s="11">
        <f t="shared" si="0"/>
        <v>5496202.82401242</v>
      </c>
      <c r="J5" s="12"/>
      <c r="K5" s="12"/>
    </row>
    <row r="6" spans="1:11">
      <c r="A6" s="13">
        <v>4</v>
      </c>
      <c r="B6" s="14">
        <f t="shared" si="1"/>
        <v>35473722.0182986</v>
      </c>
      <c r="C6" s="13">
        <f t="shared" si="7"/>
        <v>0.386731584</v>
      </c>
      <c r="D6" s="13">
        <f t="shared" si="2"/>
        <v>13718808.7065123</v>
      </c>
      <c r="E6" s="13">
        <f t="shared" si="5"/>
        <v>977797.0512</v>
      </c>
      <c r="F6" s="15">
        <f t="shared" si="6"/>
        <v>3748000</v>
      </c>
      <c r="G6" s="16">
        <f t="shared" si="3"/>
        <v>8993011.65531228</v>
      </c>
      <c r="H6" s="14">
        <f t="shared" si="4"/>
        <v>-11849802.4361444</v>
      </c>
      <c r="I6" s="17">
        <f t="shared" si="0"/>
        <v>5583952.6953029</v>
      </c>
      <c r="J6" s="12"/>
      <c r="K6" s="12"/>
    </row>
    <row r="7" ht="15" customHeight="1" spans="1:11">
      <c r="A7" s="8">
        <v>5</v>
      </c>
      <c r="B7" s="8">
        <f t="shared" si="1"/>
        <v>35331827.1302254</v>
      </c>
      <c r="C7" s="18">
        <f t="shared" si="7"/>
        <v>0.41767011072</v>
      </c>
      <c r="D7" s="8">
        <f t="shared" si="2"/>
        <v>14757048.1494211</v>
      </c>
      <c r="E7" s="8">
        <f t="shared" si="5"/>
        <v>997352.992224</v>
      </c>
      <c r="F7" s="9">
        <f t="shared" si="6"/>
        <v>3748000</v>
      </c>
      <c r="G7" s="10">
        <f t="shared" si="3"/>
        <v>10011695.1571971</v>
      </c>
      <c r="H7" s="8">
        <f t="shared" si="4"/>
        <v>-741240.934843557</v>
      </c>
      <c r="I7" s="11">
        <f t="shared" si="0"/>
        <v>5651340.91188343</v>
      </c>
      <c r="J7" s="12"/>
      <c r="K7" s="12"/>
    </row>
    <row r="8" spans="1:11">
      <c r="A8" s="13">
        <v>6</v>
      </c>
      <c r="B8" s="14">
        <f t="shared" si="1"/>
        <v>35190499.8217045</v>
      </c>
      <c r="C8" s="13">
        <f t="shared" si="7"/>
        <v>0.4510837195776</v>
      </c>
      <c r="D8" s="13">
        <f t="shared" si="2"/>
        <v>15873861.5533693</v>
      </c>
      <c r="E8" s="13">
        <f t="shared" si="5"/>
        <v>1017300.05206848</v>
      </c>
      <c r="F8" s="15">
        <f t="shared" si="6"/>
        <v>3748000</v>
      </c>
      <c r="G8" s="16">
        <f t="shared" si="3"/>
        <v>11108561.5013008</v>
      </c>
      <c r="H8" s="14">
        <f t="shared" si="4"/>
        <v>11548308.4077749</v>
      </c>
      <c r="I8" s="17">
        <f t="shared" si="0"/>
        <v>5700448.51625761</v>
      </c>
      <c r="J8" s="12"/>
      <c r="K8" s="12"/>
    </row>
    <row r="9" spans="1:11">
      <c r="A9" s="8">
        <v>7</v>
      </c>
      <c r="B9" s="8">
        <f t="shared" si="1"/>
        <v>35049737.8224176</v>
      </c>
      <c r="C9" s="18">
        <f t="shared" si="7"/>
        <v>0.487170417143808</v>
      </c>
      <c r="D9" s="8">
        <f t="shared" si="2"/>
        <v>17075195.3957283</v>
      </c>
      <c r="E9" s="8">
        <f t="shared" si="5"/>
        <v>1037646.05310985</v>
      </c>
      <c r="F9" s="9">
        <f t="shared" si="6"/>
        <v>3748000</v>
      </c>
      <c r="G9" s="10">
        <f t="shared" si="3"/>
        <v>12289549.3426185</v>
      </c>
      <c r="H9" s="8">
        <f t="shared" si="4"/>
        <v>25109355.6168799</v>
      </c>
      <c r="I9" s="11">
        <f t="shared" si="0"/>
        <v>5733165.46778319</v>
      </c>
      <c r="J9" s="12"/>
      <c r="K9" s="12"/>
    </row>
    <row r="10" spans="1:11">
      <c r="A10" s="13">
        <v>8</v>
      </c>
      <c r="B10" s="14">
        <f t="shared" si="1"/>
        <v>34909538.871128</v>
      </c>
      <c r="C10" s="13">
        <f t="shared" si="7"/>
        <v>0.526144050515313</v>
      </c>
      <c r="D10" s="13">
        <f t="shared" si="2"/>
        <v>18367446.183277</v>
      </c>
      <c r="E10" s="13">
        <f t="shared" si="5"/>
        <v>1058398.97417205</v>
      </c>
      <c r="F10" s="15">
        <f t="shared" si="6"/>
        <v>3748000</v>
      </c>
      <c r="G10" s="16">
        <f t="shared" si="3"/>
        <v>13561047.209105</v>
      </c>
      <c r="H10" s="14">
        <f t="shared" si="4"/>
        <v>40039283.1736519</v>
      </c>
      <c r="I10" s="17">
        <f t="shared" si="0"/>
        <v>5751207.82401825</v>
      </c>
      <c r="J10" s="12"/>
      <c r="K10" s="12"/>
    </row>
    <row r="11" spans="1:11">
      <c r="A11" s="8">
        <v>9</v>
      </c>
      <c r="B11" s="8">
        <f t="shared" si="1"/>
        <v>34769900.7156435</v>
      </c>
      <c r="C11" s="18">
        <f t="shared" si="7"/>
        <v>0.568235574556538</v>
      </c>
      <c r="D11" s="8">
        <f t="shared" si="2"/>
        <v>19757494.5104274</v>
      </c>
      <c r="E11" s="8">
        <f t="shared" si="5"/>
        <v>1079566.95365549</v>
      </c>
      <c r="F11" s="9">
        <f t="shared" si="6"/>
        <v>3748000</v>
      </c>
      <c r="G11" s="10">
        <f t="shared" si="3"/>
        <v>14929927.556772</v>
      </c>
      <c r="H11" s="8">
        <f t="shared" si="4"/>
        <v>56442866.5758998</v>
      </c>
      <c r="I11" s="11">
        <f t="shared" si="0"/>
        <v>5756133.38118247</v>
      </c>
      <c r="J11" s="12"/>
      <c r="K11" s="12"/>
    </row>
    <row r="12" spans="1:11">
      <c r="A12" s="13">
        <v>10</v>
      </c>
      <c r="B12" s="14">
        <f t="shared" si="1"/>
        <v>34630821.1127809</v>
      </c>
      <c r="C12" s="13">
        <f t="shared" si="7"/>
        <v>0.613694420521061</v>
      </c>
      <c r="D12" s="13">
        <f t="shared" si="2"/>
        <v>21252741.6949766</v>
      </c>
      <c r="E12" s="13">
        <f t="shared" si="5"/>
        <v>1101158.2927286</v>
      </c>
      <c r="F12" s="15">
        <f t="shared" si="6"/>
        <v>3748000</v>
      </c>
      <c r="G12" s="16">
        <f t="shared" si="3"/>
        <v>16403583.402248</v>
      </c>
      <c r="H12" s="14">
        <f t="shared" si="4"/>
        <v>78180834.3037691</v>
      </c>
      <c r="I12" s="17">
        <f t="shared" si="0"/>
        <v>5749355.91212214</v>
      </c>
      <c r="J12" s="12"/>
      <c r="K12" s="12"/>
    </row>
    <row r="13" spans="1:11">
      <c r="A13" s="8">
        <v>11</v>
      </c>
      <c r="B13" s="8">
        <f t="shared" si="1"/>
        <v>34492297.8283298</v>
      </c>
      <c r="C13" s="18">
        <f t="shared" si="7"/>
        <v>0.662789974162746</v>
      </c>
      <c r="D13" s="8">
        <f t="shared" si="2"/>
        <v>22861149.1864524</v>
      </c>
      <c r="E13" s="8">
        <f t="shared" si="5"/>
        <v>1123181.45858317</v>
      </c>
      <c r="F13" s="9">
        <v>0</v>
      </c>
      <c r="G13" s="10">
        <f t="shared" si="3"/>
        <v>21737967.7278693</v>
      </c>
      <c r="H13" s="8">
        <f t="shared" si="4"/>
        <v>101626470.172897</v>
      </c>
      <c r="I13" s="11">
        <f t="shared" si="0"/>
        <v>6926386.43249232</v>
      </c>
      <c r="J13" s="12"/>
      <c r="K13" s="12"/>
    </row>
    <row r="14" spans="1:11">
      <c r="A14" s="13">
        <v>12</v>
      </c>
      <c r="B14" s="14">
        <f t="shared" si="1"/>
        <v>34354328.6370164</v>
      </c>
      <c r="C14" s="13">
        <f t="shared" si="7"/>
        <v>0.715813172095766</v>
      </c>
      <c r="D14" s="13">
        <f t="shared" si="2"/>
        <v>24591280.9568831</v>
      </c>
      <c r="E14" s="13">
        <f t="shared" si="5"/>
        <v>1145645.08775483</v>
      </c>
      <c r="F14" s="15">
        <v>0</v>
      </c>
      <c r="G14" s="16">
        <f t="shared" si="3"/>
        <v>23445635.8691283</v>
      </c>
      <c r="H14" s="14">
        <f t="shared" si="4"/>
        <v>126910261.283088</v>
      </c>
      <c r="I14" s="17">
        <f t="shared" si="0"/>
        <v>6791365.57156329</v>
      </c>
      <c r="J14" s="12"/>
      <c r="K14" s="12"/>
    </row>
    <row r="15" spans="1:11">
      <c r="A15" s="8">
        <v>13</v>
      </c>
      <c r="B15" s="8">
        <f t="shared" si="1"/>
        <v>34216911.3224684</v>
      </c>
      <c r="C15" s="18">
        <f t="shared" si="7"/>
        <v>0.773078225863427</v>
      </c>
      <c r="D15" s="8">
        <f t="shared" si="2"/>
        <v>26452349.0997001</v>
      </c>
      <c r="E15" s="8">
        <f t="shared" si="5"/>
        <v>1168557.98950993</v>
      </c>
      <c r="F15" s="9">
        <v>0</v>
      </c>
      <c r="G15" s="10">
        <f t="shared" si="3"/>
        <v>25283791.1101901</v>
      </c>
      <c r="H15" s="8">
        <f t="shared" si="4"/>
        <v>154172595.013353</v>
      </c>
      <c r="I15" s="11">
        <f t="shared" si="0"/>
        <v>6658012.42665928</v>
      </c>
      <c r="J15" s="12"/>
      <c r="K15" s="12"/>
    </row>
    <row r="16" spans="1:11">
      <c r="A16" s="13">
        <v>14</v>
      </c>
      <c r="B16" s="14">
        <f t="shared" si="1"/>
        <v>34080043.6771785</v>
      </c>
      <c r="C16" s="13">
        <f t="shared" si="7"/>
        <v>0.834924483932501</v>
      </c>
      <c r="D16" s="13">
        <f t="shared" si="2"/>
        <v>28454262.8795654</v>
      </c>
      <c r="E16" s="13">
        <f t="shared" si="5"/>
        <v>1191929.14930013</v>
      </c>
      <c r="F16" s="15">
        <v>0</v>
      </c>
      <c r="G16" s="16">
        <f t="shared" si="3"/>
        <v>27262333.7302652</v>
      </c>
      <c r="H16" s="14">
        <f t="shared" si="4"/>
        <v>183564508.775358</v>
      </c>
      <c r="I16" s="17">
        <f t="shared" si="0"/>
        <v>6526385.94227426</v>
      </c>
      <c r="J16" s="12"/>
      <c r="K16" s="12"/>
    </row>
    <row r="17" spans="1:11">
      <c r="A17" s="8">
        <v>15</v>
      </c>
      <c r="B17" s="8">
        <f t="shared" si="1"/>
        <v>33943723.5024698</v>
      </c>
      <c r="C17" s="18">
        <f t="shared" si="7"/>
        <v>0.901718442647101</v>
      </c>
      <c r="D17" s="8">
        <f t="shared" si="2"/>
        <v>30607681.4942909</v>
      </c>
      <c r="E17" s="8">
        <f t="shared" si="5"/>
        <v>1215767.73228613</v>
      </c>
      <c r="F17" s="9">
        <v>0</v>
      </c>
      <c r="G17" s="10">
        <f t="shared" si="3"/>
        <v>29391913.7620047</v>
      </c>
      <c r="H17" s="8">
        <f t="shared" si="4"/>
        <v>215248496.518204</v>
      </c>
      <c r="I17" s="11">
        <f t="shared" si="0"/>
        <v>6396536.79124366</v>
      </c>
      <c r="J17" s="12"/>
      <c r="K17" s="12"/>
    </row>
    <row r="18" spans="1:11">
      <c r="A18" s="13">
        <v>16</v>
      </c>
      <c r="B18" s="14">
        <f t="shared" si="1"/>
        <v>33807948.6084599</v>
      </c>
      <c r="C18" s="13">
        <f t="shared" si="7"/>
        <v>0.97385591805887</v>
      </c>
      <c r="D18" s="13">
        <f t="shared" si="2"/>
        <v>32924070.8297788</v>
      </c>
      <c r="E18" s="13">
        <f t="shared" si="5"/>
        <v>1240083.08693185</v>
      </c>
      <c r="F18" s="15">
        <v>0</v>
      </c>
      <c r="G18" s="16">
        <f t="shared" si="3"/>
        <v>31683987.742847</v>
      </c>
      <c r="H18" s="14">
        <f t="shared" si="4"/>
        <v>249399376.27971</v>
      </c>
      <c r="I18" s="17">
        <f t="shared" si="0"/>
        <v>6268508.06441949</v>
      </c>
      <c r="J18" s="12"/>
      <c r="K18" s="12"/>
    </row>
    <row r="19" spans="1:11">
      <c r="A19" s="8">
        <v>17</v>
      </c>
      <c r="B19" s="8">
        <f t="shared" si="1"/>
        <v>33672716.8140261</v>
      </c>
      <c r="C19" s="18">
        <f t="shared" si="7"/>
        <v>1.05176439150358</v>
      </c>
      <c r="D19" s="8">
        <f t="shared" si="2"/>
        <v>35415764.5101765</v>
      </c>
      <c r="E19" s="8">
        <f t="shared" si="5"/>
        <v>1264884.74867049</v>
      </c>
      <c r="F19" s="9">
        <v>0</v>
      </c>
      <c r="G19" s="10">
        <f t="shared" si="3"/>
        <v>34150879.761506</v>
      </c>
      <c r="H19" s="8">
        <f t="shared" si="4"/>
        <v>286205223.404373</v>
      </c>
      <c r="I19" s="11">
        <f t="shared" si="0"/>
        <v>6142335.90823952</v>
      </c>
      <c r="J19" s="12"/>
      <c r="K19" s="12"/>
    </row>
    <row r="20" spans="1:11">
      <c r="A20" s="13">
        <v>18</v>
      </c>
      <c r="B20" s="14">
        <f t="shared" si="1"/>
        <v>33538025.94677</v>
      </c>
      <c r="C20" s="13">
        <f t="shared" si="7"/>
        <v>1.13590554282387</v>
      </c>
      <c r="D20" s="13">
        <f t="shared" si="2"/>
        <v>38096029.5683066</v>
      </c>
      <c r="E20" s="13">
        <f t="shared" si="5"/>
        <v>1290182.4436439</v>
      </c>
      <c r="F20" s="15">
        <v>0</v>
      </c>
      <c r="G20" s="16">
        <f t="shared" si="3"/>
        <v>36805847.1246627</v>
      </c>
      <c r="H20" s="14">
        <f t="shared" si="4"/>
        <v>325868374.397892</v>
      </c>
      <c r="I20" s="17">
        <f t="shared" si="0"/>
        <v>6018050.11402304</v>
      </c>
      <c r="J20" s="12"/>
      <c r="K20" s="12"/>
    </row>
    <row r="21" spans="1:11">
      <c r="A21" s="8">
        <v>19</v>
      </c>
      <c r="B21" s="8">
        <f t="shared" si="1"/>
        <v>33403873.8429829</v>
      </c>
      <c r="C21" s="18">
        <f t="shared" si="7"/>
        <v>1.22677798624977</v>
      </c>
      <c r="D21" s="8">
        <f t="shared" si="2"/>
        <v>40979137.0860361</v>
      </c>
      <c r="E21" s="8">
        <f t="shared" si="5"/>
        <v>1315986.09251678</v>
      </c>
      <c r="F21" s="9">
        <v>0</v>
      </c>
      <c r="G21" s="10">
        <f t="shared" si="3"/>
        <v>39663150.9935193</v>
      </c>
      <c r="H21" s="8">
        <f t="shared" si="4"/>
        <v>368606506.764233</v>
      </c>
      <c r="I21" s="11">
        <f t="shared" si="0"/>
        <v>5895674.66254612</v>
      </c>
      <c r="J21" s="12"/>
      <c r="K21" s="12"/>
    </row>
    <row r="22" spans="1:11">
      <c r="A22" s="13">
        <v>20</v>
      </c>
      <c r="B22" s="14">
        <f t="shared" si="1"/>
        <v>33270258.347611</v>
      </c>
      <c r="C22" s="13">
        <f t="shared" si="7"/>
        <v>1.32492022514976</v>
      </c>
      <c r="D22" s="13">
        <f t="shared" si="2"/>
        <v>44080438.1807073</v>
      </c>
      <c r="E22" s="13">
        <f t="shared" si="5"/>
        <v>1342305.81436711</v>
      </c>
      <c r="F22" s="15">
        <v>0</v>
      </c>
      <c r="G22" s="16">
        <f t="shared" si="3"/>
        <v>42738132.3663402</v>
      </c>
      <c r="H22" s="14">
        <f t="shared" si="4"/>
        <v>414653800.575801</v>
      </c>
      <c r="I22" s="17">
        <f t="shared" si="0"/>
        <v>5775228.22718988</v>
      </c>
      <c r="J22" s="12"/>
      <c r="K22" s="12"/>
    </row>
    <row r="23" spans="1:11">
      <c r="A23" s="8">
        <v>21</v>
      </c>
      <c r="B23" s="8">
        <f t="shared" si="1"/>
        <v>33137177.3142205</v>
      </c>
      <c r="C23" s="18">
        <f t="shared" si="7"/>
        <v>1.43091384316174</v>
      </c>
      <c r="D23" s="8">
        <f t="shared" si="2"/>
        <v>47416445.7422232</v>
      </c>
      <c r="E23" s="8">
        <f t="shared" si="5"/>
        <v>1369151.93065446</v>
      </c>
      <c r="F23" s="9">
        <v>0</v>
      </c>
      <c r="G23" s="10">
        <f t="shared" si="3"/>
        <v>46047293.8115688</v>
      </c>
      <c r="H23" s="8">
        <f t="shared" si="4"/>
        <v>464262187.962528</v>
      </c>
      <c r="I23" s="11">
        <f t="shared" si="0"/>
        <v>5656724.6387151</v>
      </c>
      <c r="J23" s="12"/>
      <c r="K23" s="12"/>
    </row>
    <row r="24" spans="1:11">
      <c r="A24" s="13">
        <v>22</v>
      </c>
      <c r="B24" s="14">
        <f t="shared" si="1"/>
        <v>33004628.6049636</v>
      </c>
      <c r="C24" s="13">
        <f t="shared" si="7"/>
        <v>1.54538695061468</v>
      </c>
      <c r="D24" s="13">
        <f t="shared" si="2"/>
        <v>51004922.3559947</v>
      </c>
      <c r="E24" s="13">
        <f t="shared" si="5"/>
        <v>1396534.96926755</v>
      </c>
      <c r="F24" s="15">
        <v>0</v>
      </c>
      <c r="G24" s="16">
        <f t="shared" si="3"/>
        <v>49608387.3867271</v>
      </c>
      <c r="H24" s="14">
        <f t="shared" si="4"/>
        <v>517702697.173772</v>
      </c>
      <c r="I24" s="17">
        <f t="shared" si="0"/>
        <v>5540173.31449307</v>
      </c>
      <c r="J24" s="12"/>
      <c r="K24" s="12"/>
    </row>
    <row r="25" spans="1:11">
      <c r="A25" s="8">
        <v>23</v>
      </c>
      <c r="B25" s="8">
        <f t="shared" si="1"/>
        <v>32872610.0905438</v>
      </c>
      <c r="C25" s="18">
        <f t="shared" si="7"/>
        <v>1.66901790666385</v>
      </c>
      <c r="D25" s="8">
        <f t="shared" si="2"/>
        <v>54864974.8798964</v>
      </c>
      <c r="E25" s="8">
        <f t="shared" si="5"/>
        <v>1424465.6686529</v>
      </c>
      <c r="F25" s="9">
        <v>0</v>
      </c>
      <c r="G25" s="10">
        <f t="shared" si="3"/>
        <v>53440509.2112435</v>
      </c>
      <c r="H25" s="8">
        <f t="shared" si="4"/>
        <v>575266898.370553</v>
      </c>
      <c r="I25" s="11">
        <f t="shared" si="0"/>
        <v>5425579.65481653</v>
      </c>
      <c r="J25" s="12"/>
      <c r="K25" s="12"/>
    </row>
    <row r="26" spans="1:11">
      <c r="A26" s="13">
        <v>24</v>
      </c>
      <c r="B26" s="14">
        <f t="shared" si="1"/>
        <v>32741119.6501816</v>
      </c>
      <c r="C26" s="13">
        <f t="shared" si="7"/>
        <v>1.80253933919696</v>
      </c>
      <c r="D26" s="13">
        <f t="shared" si="2"/>
        <v>59017156.1788069</v>
      </c>
      <c r="E26" s="13">
        <f t="shared" si="5"/>
        <v>1452954.98202595</v>
      </c>
      <c r="F26" s="15">
        <v>0</v>
      </c>
      <c r="G26" s="16">
        <f t="shared" si="3"/>
        <v>57564201.196781</v>
      </c>
      <c r="H26" s="14">
        <f t="shared" si="4"/>
        <v>637268458.847305</v>
      </c>
      <c r="I26" s="17">
        <f t="shared" si="0"/>
        <v>5312945.40872224</v>
      </c>
      <c r="J26" s="12"/>
      <c r="K26" s="12"/>
    </row>
    <row r="27" spans="1:11">
      <c r="A27" s="19">
        <v>25</v>
      </c>
      <c r="B27" s="20">
        <f t="shared" si="1"/>
        <v>32610155.1715809</v>
      </c>
      <c r="C27" s="18">
        <f t="shared" si="7"/>
        <v>1.94674248633272</v>
      </c>
      <c r="D27" s="19">
        <f t="shared" si="2"/>
        <v>63483574.558419</v>
      </c>
      <c r="E27" s="19">
        <f t="shared" si="5"/>
        <v>1482014.08166647</v>
      </c>
      <c r="F27" s="21">
        <v>0</v>
      </c>
      <c r="G27" s="22">
        <f t="shared" si="3"/>
        <v>62001560.4767525</v>
      </c>
      <c r="H27" s="20">
        <f t="shared" si="4"/>
        <v>637268458.847305</v>
      </c>
      <c r="I27" s="23">
        <f t="shared" si="0"/>
        <v>62001560.4767525</v>
      </c>
      <c r="J27" s="12"/>
      <c r="K27" s="12"/>
    </row>
    <row r="31" spans="1:11">
      <c r="D31">
        <v>342383696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index 5%</vt:lpstr>
      <vt:lpstr>index 2%</vt:lpstr>
      <vt:lpstr>index 8%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mayss</dc:creator>
  <cp:lastModifiedBy>Mayssa Nemri</cp:lastModifiedBy>
  <dcterms:created xsi:type="dcterms:W3CDTF">2026-05-08T20:22:00Z</dcterms:created>
  <dcterms:modified xsi:type="dcterms:W3CDTF">2026-06-09T14:25:32Z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DBF612211D134024996865DE7A2CA32E_11</vt:lpwstr>
  </property>
  <property fmtid="{D5CDD505-2E9C-101B-9397-08002B2CF9AE}" pid="3" name="KSOProductBuildVer">
    <vt:lpwstr>1036-12.1.0.26372</vt:lpwstr>
  </property>
  <property fmtid="{D5CDD505-2E9C-101B-9397-08002B2CF9AE}" pid="4" name="CalculationRule">
    <vt:i4>1</vt:i4>
  </property>
</Properties>
</file>